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uiz\Documents\PERSONAL\Compliance\Portfolio and Mock Projects\"/>
    </mc:Choice>
  </mc:AlternateContent>
  <xr:revisionPtr revIDLastSave="0" documentId="13_ncr:1_{37F6402E-2BDD-428B-A491-7E6CEAB1CD52}" xr6:coauthVersionLast="47" xr6:coauthVersionMax="47" xr10:uidLastSave="{00000000-0000-0000-0000-000000000000}"/>
  <bookViews>
    <workbookView xWindow="-120" yWindow="-120" windowWidth="20730" windowHeight="11760" firstSheet="1" activeTab="1" xr2:uid="{00000000-000D-0000-FFFF-FFFF00000000}"/>
  </bookViews>
  <sheets>
    <sheet name="Sheet1" sheetId="9" r:id="rId1"/>
    <sheet name="Customer Master" sheetId="1" r:id="rId2"/>
    <sheet name="CIP Verification" sheetId="2" r:id="rId3"/>
    <sheet name="Screening Register" sheetId="4" r:id="rId4"/>
    <sheet name="Risk Matrix" sheetId="5" r:id="rId5"/>
    <sheet name="Due Diligence Register" sheetId="6" r:id="rId6"/>
    <sheet name="Transaction Monitoring" sheetId="7" r:id="rId7"/>
    <sheet name="Dashboard" sheetId="8" r:id="rId8"/>
    <sheet name="Lookup Table" sheetId="3"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9" i="6" l="1"/>
  <c r="G84" i="5"/>
  <c r="B37" i="8"/>
  <c r="B38" i="8"/>
  <c r="B39" i="8"/>
  <c r="B40" i="8"/>
  <c r="B22" i="8"/>
  <c r="B21" i="8"/>
  <c r="B23" i="8"/>
  <c r="B24" i="8"/>
  <c r="B3" i="8"/>
  <c r="F3" i="8"/>
  <c r="D2" i="7"/>
  <c r="D3" i="7"/>
  <c r="D4" i="7"/>
  <c r="D5" i="7"/>
  <c r="D6" i="7"/>
  <c r="D7" i="7"/>
  <c r="D8" i="7"/>
  <c r="D9" i="7"/>
  <c r="D10" i="7"/>
  <c r="D11"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2" i="7"/>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G23" i="5"/>
  <c r="M23" i="5" s="1"/>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J83"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4" i="6"/>
  <c r="J85" i="6"/>
  <c r="J86" i="6"/>
  <c r="J87" i="6"/>
  <c r="J88" i="6"/>
  <c r="J89" i="6"/>
  <c r="J90" i="6"/>
  <c r="J91" i="6"/>
  <c r="J92" i="6"/>
  <c r="J93" i="6"/>
  <c r="J94" i="6"/>
  <c r="J95" i="6"/>
  <c r="J96" i="6"/>
  <c r="J97" i="6"/>
  <c r="J98" i="6"/>
  <c r="J99" i="6"/>
  <c r="J100" i="6"/>
  <c r="J101" i="6"/>
  <c r="J2" i="6"/>
  <c r="M3" i="6"/>
  <c r="N3" i="6" s="1" a="1"/>
  <c r="N3" i="6" s="1"/>
  <c r="O3" i="6" s="1" a="1"/>
  <c r="O3" i="6" s="1"/>
  <c r="M4" i="6"/>
  <c r="N4" i="6" s="1" a="1"/>
  <c r="N4" i="6" s="1"/>
  <c r="O4" i="6" s="1" a="1"/>
  <c r="O4" i="6" s="1"/>
  <c r="M5" i="6"/>
  <c r="N5" i="6" s="1" a="1"/>
  <c r="N5" i="6" s="1"/>
  <c r="O5" i="6" s="1" a="1"/>
  <c r="O5" i="6" s="1"/>
  <c r="M6" i="6"/>
  <c r="N6" i="6" s="1" a="1"/>
  <c r="N6" i="6" s="1"/>
  <c r="O6" i="6" s="1" a="1"/>
  <c r="O6" i="6" s="1"/>
  <c r="M7" i="6"/>
  <c r="N7" i="6" s="1" a="1"/>
  <c r="N7" i="6" s="1"/>
  <c r="O7" i="6" s="1" a="1"/>
  <c r="O7" i="6" s="1"/>
  <c r="M8" i="6"/>
  <c r="N8" i="6" s="1" a="1"/>
  <c r="N8" i="6" s="1"/>
  <c r="O8" i="6" s="1" a="1"/>
  <c r="O8" i="6" s="1"/>
  <c r="M9" i="6"/>
  <c r="N9" i="6" s="1" a="1"/>
  <c r="N9" i="6" s="1"/>
  <c r="O9" i="6" s="1" a="1"/>
  <c r="O9" i="6" s="1"/>
  <c r="M10" i="6"/>
  <c r="N10" i="6" s="1" a="1"/>
  <c r="N10" i="6" s="1"/>
  <c r="O10" i="6" s="1" a="1"/>
  <c r="O10" i="6" s="1"/>
  <c r="M11" i="6"/>
  <c r="N11" i="6" s="1" a="1"/>
  <c r="N11" i="6" s="1"/>
  <c r="O11" i="6" s="1" a="1"/>
  <c r="O11" i="6" s="1"/>
  <c r="M12" i="6"/>
  <c r="N12" i="6" s="1" a="1"/>
  <c r="N12" i="6" s="1"/>
  <c r="O12" i="6" s="1" a="1"/>
  <c r="O12" i="6" s="1"/>
  <c r="M13" i="6"/>
  <c r="N13" i="6" s="1" a="1"/>
  <c r="N13" i="6" s="1"/>
  <c r="O13" i="6" s="1" a="1"/>
  <c r="O13" i="6" s="1"/>
  <c r="M14" i="6"/>
  <c r="N14" i="6" s="1" a="1"/>
  <c r="N14" i="6" s="1"/>
  <c r="O14" i="6" s="1" a="1"/>
  <c r="O14" i="6" s="1"/>
  <c r="M15" i="6"/>
  <c r="N15" i="6" s="1" a="1"/>
  <c r="N15" i="6" s="1"/>
  <c r="O15" i="6" s="1" a="1"/>
  <c r="O15" i="6" s="1"/>
  <c r="M16" i="6"/>
  <c r="N16" i="6" s="1" a="1"/>
  <c r="N16" i="6" s="1"/>
  <c r="O16" i="6" s="1" a="1"/>
  <c r="O16" i="6" s="1"/>
  <c r="M17" i="6"/>
  <c r="N17" i="6" s="1" a="1"/>
  <c r="N17" i="6" s="1"/>
  <c r="O17" i="6" s="1" a="1"/>
  <c r="O17" i="6" s="1"/>
  <c r="M18" i="6"/>
  <c r="N18" i="6" s="1" a="1"/>
  <c r="N18" i="6" s="1"/>
  <c r="O18" i="6" s="1" a="1"/>
  <c r="O18" i="6" s="1"/>
  <c r="M19" i="6"/>
  <c r="N19" i="6" s="1" a="1"/>
  <c r="N19" i="6" s="1"/>
  <c r="O19" i="6" s="1" a="1"/>
  <c r="O19" i="6" s="1"/>
  <c r="M20" i="6"/>
  <c r="N20" i="6" s="1" a="1"/>
  <c r="N20" i="6" s="1"/>
  <c r="O20" i="6" s="1" a="1"/>
  <c r="O20" i="6" s="1"/>
  <c r="M21" i="6"/>
  <c r="N21" i="6" s="1" a="1"/>
  <c r="N21" i="6" s="1"/>
  <c r="O21" i="6" s="1" a="1"/>
  <c r="O21" i="6" s="1"/>
  <c r="M22" i="6"/>
  <c r="N22" i="6" s="1" a="1"/>
  <c r="N22" i="6" s="1"/>
  <c r="O22" i="6" s="1" a="1"/>
  <c r="O22" i="6" s="1"/>
  <c r="M23" i="6"/>
  <c r="N23" i="6" s="1" a="1"/>
  <c r="N23" i="6" s="1"/>
  <c r="O23" i="6" s="1" a="1"/>
  <c r="O23" i="6" s="1"/>
  <c r="M24" i="6"/>
  <c r="N24" i="6" s="1" a="1"/>
  <c r="N24" i="6" s="1"/>
  <c r="O24" i="6" s="1" a="1"/>
  <c r="O24" i="6" s="1"/>
  <c r="M25" i="6"/>
  <c r="N25" i="6" s="1" a="1"/>
  <c r="N25" i="6" s="1"/>
  <c r="O25" i="6" s="1" a="1"/>
  <c r="O25" i="6" s="1"/>
  <c r="M26" i="6"/>
  <c r="N26" i="6" s="1" a="1"/>
  <c r="N26" i="6" s="1"/>
  <c r="O26" i="6" s="1" a="1"/>
  <c r="O26" i="6" s="1"/>
  <c r="M27" i="6"/>
  <c r="N27" i="6" s="1" a="1"/>
  <c r="N27" i="6" s="1"/>
  <c r="O27" i="6" s="1" a="1"/>
  <c r="O27" i="6" s="1"/>
  <c r="M28" i="6"/>
  <c r="N28" i="6" s="1" a="1"/>
  <c r="N28" i="6" s="1"/>
  <c r="O28" i="6" s="1" a="1"/>
  <c r="O28" i="6" s="1"/>
  <c r="M29" i="6"/>
  <c r="N29" i="6" s="1" a="1"/>
  <c r="N29" i="6" s="1"/>
  <c r="O29" i="6" s="1" a="1"/>
  <c r="O29" i="6" s="1"/>
  <c r="M30" i="6"/>
  <c r="N30" i="6" s="1" a="1"/>
  <c r="N30" i="6" s="1"/>
  <c r="O30" i="6" s="1" a="1"/>
  <c r="O30" i="6" s="1"/>
  <c r="M31" i="6"/>
  <c r="N31" i="6" s="1" a="1"/>
  <c r="N31" i="6" s="1"/>
  <c r="O31" i="6" s="1" a="1"/>
  <c r="O31" i="6" s="1"/>
  <c r="M32" i="6"/>
  <c r="N32" i="6" s="1" a="1"/>
  <c r="N32" i="6" s="1"/>
  <c r="O32" i="6" s="1" a="1"/>
  <c r="O32" i="6" s="1"/>
  <c r="M33" i="6"/>
  <c r="N33" i="6" s="1" a="1"/>
  <c r="N33" i="6" s="1"/>
  <c r="O33" i="6" s="1" a="1"/>
  <c r="O33" i="6" s="1"/>
  <c r="M34" i="6"/>
  <c r="N34" i="6" s="1" a="1"/>
  <c r="N34" i="6" s="1"/>
  <c r="O34" i="6" s="1" a="1"/>
  <c r="O34" i="6" s="1"/>
  <c r="M35" i="6"/>
  <c r="N35" i="6" s="1" a="1"/>
  <c r="N35" i="6" s="1"/>
  <c r="O35" i="6" s="1" a="1"/>
  <c r="O35" i="6" s="1"/>
  <c r="M36" i="6"/>
  <c r="N36" i="6" s="1" a="1"/>
  <c r="N36" i="6" s="1"/>
  <c r="O36" i="6" s="1" a="1"/>
  <c r="O36" i="6" s="1"/>
  <c r="M37" i="6"/>
  <c r="N37" i="6" s="1" a="1"/>
  <c r="N37" i="6" s="1"/>
  <c r="O37" i="6" s="1" a="1"/>
  <c r="O37" i="6" s="1"/>
  <c r="M38" i="6"/>
  <c r="N38" i="6" s="1" a="1"/>
  <c r="N38" i="6" s="1"/>
  <c r="O38" i="6" s="1" a="1"/>
  <c r="O38" i="6" s="1"/>
  <c r="M39" i="6"/>
  <c r="N39" i="6" s="1" a="1"/>
  <c r="N39" i="6" s="1"/>
  <c r="O39" i="6" s="1" a="1"/>
  <c r="O39" i="6" s="1"/>
  <c r="M40" i="6"/>
  <c r="N40" i="6" s="1" a="1"/>
  <c r="N40" i="6" s="1"/>
  <c r="O40" i="6" s="1" a="1"/>
  <c r="O40" i="6" s="1"/>
  <c r="M41" i="6"/>
  <c r="N41" i="6" s="1" a="1"/>
  <c r="N41" i="6" s="1"/>
  <c r="O41" i="6" s="1" a="1"/>
  <c r="O41" i="6" s="1"/>
  <c r="M42" i="6"/>
  <c r="N42" i="6" s="1" a="1"/>
  <c r="N42" i="6" s="1"/>
  <c r="O42" i="6" s="1" a="1"/>
  <c r="O42" i="6" s="1"/>
  <c r="M43" i="6"/>
  <c r="N43" i="6" s="1" a="1"/>
  <c r="N43" i="6" s="1"/>
  <c r="O43" i="6" s="1" a="1"/>
  <c r="O43" i="6" s="1"/>
  <c r="M44" i="6"/>
  <c r="N44" i="6" s="1" a="1"/>
  <c r="N44" i="6" s="1"/>
  <c r="O44" i="6" s="1" a="1"/>
  <c r="O44" i="6" s="1"/>
  <c r="M45" i="6"/>
  <c r="N45" i="6" s="1" a="1"/>
  <c r="N45" i="6" s="1"/>
  <c r="O45" i="6" s="1" a="1"/>
  <c r="O45" i="6" s="1"/>
  <c r="M46" i="6"/>
  <c r="N46" i="6" s="1" a="1"/>
  <c r="N46" i="6" s="1"/>
  <c r="O46" i="6" s="1" a="1"/>
  <c r="O46" i="6" s="1"/>
  <c r="M47" i="6"/>
  <c r="N47" i="6" s="1" a="1"/>
  <c r="N47" i="6" s="1"/>
  <c r="O47" i="6" s="1" a="1"/>
  <c r="O47" i="6" s="1"/>
  <c r="M48" i="6"/>
  <c r="N48" i="6" s="1" a="1"/>
  <c r="N48" i="6" s="1"/>
  <c r="O48" i="6" s="1" a="1"/>
  <c r="O48" i="6" s="1"/>
  <c r="M49" i="6"/>
  <c r="N49" i="6" s="1" a="1"/>
  <c r="N49" i="6" s="1"/>
  <c r="O49" i="6" s="1" a="1"/>
  <c r="O49" i="6" s="1"/>
  <c r="M50" i="6"/>
  <c r="N50" i="6" s="1" a="1"/>
  <c r="N50" i="6" s="1"/>
  <c r="O50" i="6" s="1" a="1"/>
  <c r="O50" i="6" s="1"/>
  <c r="M51" i="6"/>
  <c r="N51" i="6" s="1" a="1"/>
  <c r="N51" i="6" s="1"/>
  <c r="O51" i="6" s="1" a="1"/>
  <c r="O51" i="6" s="1"/>
  <c r="M52" i="6"/>
  <c r="N52" i="6" s="1" a="1"/>
  <c r="N52" i="6" s="1"/>
  <c r="O52" i="6" s="1" a="1"/>
  <c r="O52" i="6" s="1"/>
  <c r="M53" i="6"/>
  <c r="N53" i="6" s="1" a="1"/>
  <c r="N53" i="6" s="1"/>
  <c r="O53" i="6" s="1" a="1"/>
  <c r="O53" i="6" s="1"/>
  <c r="M54" i="6"/>
  <c r="N54" i="6" s="1" a="1"/>
  <c r="N54" i="6" s="1"/>
  <c r="O54" i="6" s="1" a="1"/>
  <c r="O54" i="6" s="1"/>
  <c r="M55" i="6"/>
  <c r="N55" i="6" s="1" a="1"/>
  <c r="N55" i="6" s="1"/>
  <c r="O55" i="6" s="1" a="1"/>
  <c r="O55" i="6" s="1"/>
  <c r="M56" i="6"/>
  <c r="N56" i="6" s="1" a="1"/>
  <c r="N56" i="6" s="1"/>
  <c r="O56" i="6" s="1" a="1"/>
  <c r="O56" i="6" s="1"/>
  <c r="M57" i="6"/>
  <c r="N57" i="6" s="1" a="1"/>
  <c r="N57" i="6" s="1"/>
  <c r="O57" i="6" s="1" a="1"/>
  <c r="O57" i="6" s="1"/>
  <c r="M58" i="6"/>
  <c r="N58" i="6" s="1" a="1"/>
  <c r="N58" i="6" s="1"/>
  <c r="O58" i="6" s="1" a="1"/>
  <c r="O58" i="6" s="1"/>
  <c r="M59" i="6"/>
  <c r="N59" i="6" s="1" a="1"/>
  <c r="N59" i="6" s="1"/>
  <c r="O59" i="6" s="1" a="1"/>
  <c r="O59" i="6" s="1"/>
  <c r="M60" i="6"/>
  <c r="N60" i="6" s="1" a="1"/>
  <c r="N60" i="6" s="1"/>
  <c r="O60" i="6" s="1" a="1"/>
  <c r="O60" i="6" s="1"/>
  <c r="M61" i="6"/>
  <c r="N61" i="6" s="1" a="1"/>
  <c r="N61" i="6" s="1"/>
  <c r="O61" i="6" s="1" a="1"/>
  <c r="O61" i="6" s="1"/>
  <c r="M62" i="6"/>
  <c r="N62" i="6" s="1" a="1"/>
  <c r="N62" i="6" s="1"/>
  <c r="O62" i="6" s="1" a="1"/>
  <c r="O62" i="6" s="1"/>
  <c r="M63" i="6"/>
  <c r="N63" i="6" s="1" a="1"/>
  <c r="N63" i="6" s="1"/>
  <c r="O63" i="6" s="1" a="1"/>
  <c r="O63" i="6" s="1"/>
  <c r="M64" i="6"/>
  <c r="N64" i="6" s="1" a="1"/>
  <c r="N64" i="6" s="1"/>
  <c r="O64" i="6" s="1" a="1"/>
  <c r="O64" i="6" s="1"/>
  <c r="M65" i="6"/>
  <c r="N65" i="6" s="1" a="1"/>
  <c r="N65" i="6" s="1"/>
  <c r="O65" i="6" s="1" a="1"/>
  <c r="O65" i="6" s="1"/>
  <c r="M66" i="6"/>
  <c r="N66" i="6" s="1" a="1"/>
  <c r="N66" i="6" s="1"/>
  <c r="O66" i="6" s="1" a="1"/>
  <c r="O66" i="6" s="1"/>
  <c r="M67" i="6"/>
  <c r="N67" i="6" s="1" a="1"/>
  <c r="N67" i="6" s="1"/>
  <c r="O67" i="6" s="1" a="1"/>
  <c r="O67" i="6" s="1"/>
  <c r="M68" i="6"/>
  <c r="N68" i="6" s="1" a="1"/>
  <c r="N68" i="6" s="1"/>
  <c r="O68" i="6" s="1" a="1"/>
  <c r="O68" i="6" s="1"/>
  <c r="M69" i="6"/>
  <c r="N69" i="6" s="1" a="1"/>
  <c r="N69" i="6" s="1"/>
  <c r="O69" i="6" s="1" a="1"/>
  <c r="O69" i="6" s="1"/>
  <c r="M70" i="6"/>
  <c r="N70" i="6" s="1" a="1"/>
  <c r="N70" i="6" s="1"/>
  <c r="O70" i="6" s="1" a="1"/>
  <c r="O70" i="6" s="1"/>
  <c r="M71" i="6"/>
  <c r="N71" i="6" s="1" a="1"/>
  <c r="N71" i="6" s="1"/>
  <c r="O71" i="6" s="1" a="1"/>
  <c r="O71" i="6" s="1"/>
  <c r="M72" i="6"/>
  <c r="N72" i="6" s="1" a="1"/>
  <c r="N72" i="6" s="1"/>
  <c r="O72" i="6" s="1" a="1"/>
  <c r="O72" i="6" s="1"/>
  <c r="M73" i="6"/>
  <c r="N73" i="6" s="1" a="1"/>
  <c r="N73" i="6" s="1"/>
  <c r="O73" i="6" s="1" a="1"/>
  <c r="O73" i="6" s="1"/>
  <c r="M74" i="6"/>
  <c r="N74" i="6" s="1" a="1"/>
  <c r="N74" i="6" s="1"/>
  <c r="O74" i="6" s="1" a="1"/>
  <c r="O74" i="6" s="1"/>
  <c r="M75" i="6"/>
  <c r="N75" i="6" s="1" a="1"/>
  <c r="N75" i="6" s="1"/>
  <c r="O75" i="6" s="1" a="1"/>
  <c r="O75" i="6" s="1"/>
  <c r="M76" i="6"/>
  <c r="N76" i="6" s="1" a="1"/>
  <c r="N76" i="6" s="1"/>
  <c r="O76" i="6" s="1" a="1"/>
  <c r="O76" i="6" s="1"/>
  <c r="M77" i="6"/>
  <c r="N77" i="6" s="1" a="1"/>
  <c r="N77" i="6" s="1"/>
  <c r="O77" i="6" s="1" a="1"/>
  <c r="O77" i="6" s="1"/>
  <c r="M78" i="6"/>
  <c r="N78" i="6" s="1" a="1"/>
  <c r="N78" i="6" s="1"/>
  <c r="O78" i="6" s="1" a="1"/>
  <c r="O78" i="6" s="1"/>
  <c r="M79" i="6"/>
  <c r="N79" i="6" s="1" a="1"/>
  <c r="N79" i="6" s="1"/>
  <c r="O79" i="6" s="1" a="1"/>
  <c r="O79" i="6" s="1"/>
  <c r="M80" i="6"/>
  <c r="N80" i="6" s="1" a="1"/>
  <c r="N80" i="6" s="1"/>
  <c r="O80" i="6" s="1" a="1"/>
  <c r="O80" i="6" s="1"/>
  <c r="M81" i="6"/>
  <c r="N81" i="6" s="1" a="1"/>
  <c r="N81" i="6" s="1"/>
  <c r="O81" i="6" s="1" a="1"/>
  <c r="O81" i="6" s="1"/>
  <c r="M82" i="6"/>
  <c r="N82" i="6" s="1" a="1"/>
  <c r="N82" i="6" s="1"/>
  <c r="O82" i="6" s="1" a="1"/>
  <c r="O82" i="6" s="1"/>
  <c r="M83" i="6"/>
  <c r="N83" i="6" s="1" a="1"/>
  <c r="N83" i="6" s="1"/>
  <c r="O83" i="6" s="1" a="1"/>
  <c r="O83" i="6" s="1"/>
  <c r="M84" i="6"/>
  <c r="N84" i="6" s="1" a="1"/>
  <c r="N84" i="6" s="1"/>
  <c r="O84" i="6" s="1" a="1"/>
  <c r="O84" i="6" s="1"/>
  <c r="M85" i="6"/>
  <c r="N85" i="6" s="1" a="1"/>
  <c r="N85" i="6" s="1"/>
  <c r="O85" i="6" s="1" a="1"/>
  <c r="O85" i="6" s="1"/>
  <c r="M86" i="6"/>
  <c r="N86" i="6" s="1" a="1"/>
  <c r="N86" i="6" s="1"/>
  <c r="O86" i="6" s="1" a="1"/>
  <c r="O86" i="6" s="1"/>
  <c r="M87" i="6"/>
  <c r="N87" i="6" s="1" a="1"/>
  <c r="N87" i="6" s="1"/>
  <c r="O87" i="6" s="1" a="1"/>
  <c r="O87" i="6" s="1"/>
  <c r="M88" i="6"/>
  <c r="N88" i="6" s="1" a="1"/>
  <c r="N88" i="6" s="1"/>
  <c r="O88" i="6" s="1" a="1"/>
  <c r="O88" i="6" s="1"/>
  <c r="M89" i="6"/>
  <c r="N89" i="6" s="1" a="1"/>
  <c r="N89" i="6" s="1"/>
  <c r="O89" i="6" s="1" a="1"/>
  <c r="O89" i="6" s="1"/>
  <c r="M90" i="6"/>
  <c r="N90" i="6" s="1" a="1"/>
  <c r="N90" i="6" s="1"/>
  <c r="O90" i="6" s="1" a="1"/>
  <c r="O90" i="6" s="1"/>
  <c r="M91" i="6"/>
  <c r="N91" i="6" s="1" a="1"/>
  <c r="N91" i="6" s="1"/>
  <c r="O91" i="6" s="1" a="1"/>
  <c r="O91" i="6" s="1"/>
  <c r="M92" i="6"/>
  <c r="N92" i="6" s="1" a="1"/>
  <c r="N92" i="6" s="1"/>
  <c r="O92" i="6" s="1" a="1"/>
  <c r="O92" i="6" s="1"/>
  <c r="M93" i="6"/>
  <c r="N93" i="6" s="1" a="1"/>
  <c r="N93" i="6" s="1"/>
  <c r="O93" i="6" s="1" a="1"/>
  <c r="O93" i="6" s="1"/>
  <c r="M94" i="6"/>
  <c r="N94" i="6" s="1" a="1"/>
  <c r="N94" i="6" s="1"/>
  <c r="O94" i="6" s="1" a="1"/>
  <c r="O94" i="6" s="1"/>
  <c r="M95" i="6"/>
  <c r="N95" i="6" s="1" a="1"/>
  <c r="N95" i="6" s="1"/>
  <c r="O95" i="6" s="1" a="1"/>
  <c r="O95" i="6" s="1"/>
  <c r="M96" i="6"/>
  <c r="N96" i="6" s="1" a="1"/>
  <c r="N96" i="6" s="1"/>
  <c r="O96" i="6" s="1" a="1"/>
  <c r="O96" i="6" s="1"/>
  <c r="M97" i="6"/>
  <c r="N97" i="6" s="1" a="1"/>
  <c r="N97" i="6" s="1"/>
  <c r="O97" i="6" s="1" a="1"/>
  <c r="O97" i="6" s="1"/>
  <c r="M98" i="6"/>
  <c r="N98" i="6" s="1" a="1"/>
  <c r="N98" i="6" s="1"/>
  <c r="O98" i="6" s="1" a="1"/>
  <c r="O98" i="6" s="1"/>
  <c r="M99" i="6"/>
  <c r="N99" i="6" s="1" a="1"/>
  <c r="N99" i="6" s="1"/>
  <c r="O99" i="6" s="1" a="1"/>
  <c r="O99" i="6" s="1"/>
  <c r="M100" i="6"/>
  <c r="N100" i="6" s="1" a="1"/>
  <c r="N100" i="6" s="1"/>
  <c r="O100" i="6" s="1" a="1"/>
  <c r="O100" i="6" s="1"/>
  <c r="M101" i="6"/>
  <c r="N101" i="6" s="1" a="1"/>
  <c r="N101" i="6" s="1"/>
  <c r="O101" i="6" s="1" a="1"/>
  <c r="O101" i="6" s="1"/>
  <c r="H3" i="6"/>
  <c r="H2"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M2" i="6"/>
  <c r="N2" i="6" s="1" a="1"/>
  <c r="N2" i="6" s="1"/>
  <c r="O2" i="6" s="1" a="1"/>
  <c r="O2" i="6" s="1"/>
  <c r="R2" i="5"/>
  <c r="G3" i="5"/>
  <c r="G4" i="5"/>
  <c r="G5" i="5"/>
  <c r="M5" i="5" s="1"/>
  <c r="G6" i="5"/>
  <c r="G7" i="5"/>
  <c r="G8" i="5"/>
  <c r="G9" i="5"/>
  <c r="G10" i="5"/>
  <c r="G11" i="5"/>
  <c r="G12" i="5"/>
  <c r="G13" i="5"/>
  <c r="M13" i="5" s="1"/>
  <c r="G14" i="5"/>
  <c r="G15" i="5"/>
  <c r="G16" i="5"/>
  <c r="G17" i="5"/>
  <c r="M17" i="5" s="1"/>
  <c r="G18" i="5"/>
  <c r="G19" i="5"/>
  <c r="G20" i="5"/>
  <c r="G21" i="5"/>
  <c r="G22" i="5"/>
  <c r="G24" i="5"/>
  <c r="G25" i="5"/>
  <c r="G26" i="5"/>
  <c r="G27" i="5"/>
  <c r="G28" i="5"/>
  <c r="M28" i="5" s="1"/>
  <c r="G29" i="5"/>
  <c r="M29" i="5" s="1"/>
  <c r="G30" i="5"/>
  <c r="G31" i="5"/>
  <c r="U31" i="5" s="1" a="1"/>
  <c r="U31" i="5" s="1"/>
  <c r="G32" i="5"/>
  <c r="G33" i="5"/>
  <c r="G34" i="5"/>
  <c r="G35" i="5"/>
  <c r="G36" i="5"/>
  <c r="G37" i="5"/>
  <c r="G38" i="5"/>
  <c r="M38" i="5" s="1"/>
  <c r="G39" i="5"/>
  <c r="G40" i="5"/>
  <c r="G41" i="5"/>
  <c r="G42" i="5"/>
  <c r="G43" i="5"/>
  <c r="G44" i="5"/>
  <c r="G45" i="5"/>
  <c r="M45" i="5" s="1"/>
  <c r="G46" i="5"/>
  <c r="G47" i="5"/>
  <c r="G48" i="5"/>
  <c r="G49" i="5"/>
  <c r="G50" i="5"/>
  <c r="M50" i="5" s="1"/>
  <c r="G51" i="5"/>
  <c r="M51" i="5" s="1"/>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M82" i="5" s="1"/>
  <c r="G83" i="5"/>
  <c r="G85" i="5"/>
  <c r="G86" i="5"/>
  <c r="G87" i="5"/>
  <c r="G88" i="5"/>
  <c r="G89" i="5"/>
  <c r="G90" i="5"/>
  <c r="G91" i="5"/>
  <c r="G92" i="5"/>
  <c r="G93" i="5"/>
  <c r="M93" i="5" s="1"/>
  <c r="G94" i="5"/>
  <c r="G95" i="5"/>
  <c r="G96" i="5"/>
  <c r="G97" i="5"/>
  <c r="G98" i="5"/>
  <c r="G99" i="5"/>
  <c r="G100" i="5"/>
  <c r="G101" i="5"/>
  <c r="F3" i="5"/>
  <c r="L3" i="5" s="1"/>
  <c r="F4" i="5"/>
  <c r="L4" i="5" s="1"/>
  <c r="F5" i="5"/>
  <c r="L5" i="5" s="1"/>
  <c r="F6" i="5"/>
  <c r="L6" i="5" s="1"/>
  <c r="F7" i="5"/>
  <c r="L7" i="5" s="1"/>
  <c r="F8" i="5"/>
  <c r="L8" i="5" s="1"/>
  <c r="F9" i="5"/>
  <c r="L9" i="5" s="1"/>
  <c r="F10" i="5"/>
  <c r="L10" i="5" s="1"/>
  <c r="F11" i="5"/>
  <c r="L11" i="5" s="1"/>
  <c r="F12" i="5"/>
  <c r="L12" i="5" s="1"/>
  <c r="F13" i="5"/>
  <c r="L13" i="5" s="1"/>
  <c r="F14" i="5"/>
  <c r="L14" i="5" s="1"/>
  <c r="F15" i="5"/>
  <c r="L15" i="5" s="1"/>
  <c r="F16" i="5"/>
  <c r="L16" i="5" s="1"/>
  <c r="F17" i="5"/>
  <c r="L17" i="5" s="1"/>
  <c r="F18" i="5"/>
  <c r="L18" i="5" s="1"/>
  <c r="F19" i="5"/>
  <c r="L19" i="5" s="1"/>
  <c r="F20" i="5"/>
  <c r="L20" i="5" s="1"/>
  <c r="F21" i="5"/>
  <c r="L21" i="5" s="1"/>
  <c r="F22" i="5"/>
  <c r="L22" i="5" s="1"/>
  <c r="F23" i="5"/>
  <c r="L23" i="5" s="1"/>
  <c r="F24" i="5"/>
  <c r="L24" i="5" s="1"/>
  <c r="F25" i="5"/>
  <c r="L25" i="5" s="1"/>
  <c r="F26" i="5"/>
  <c r="L26" i="5" s="1"/>
  <c r="F27" i="5"/>
  <c r="L27" i="5" s="1"/>
  <c r="F28" i="5"/>
  <c r="L28" i="5" s="1"/>
  <c r="F29" i="5"/>
  <c r="L29" i="5" s="1"/>
  <c r="F30" i="5"/>
  <c r="L30" i="5" s="1"/>
  <c r="F31" i="5"/>
  <c r="L31" i="5" s="1"/>
  <c r="F32" i="5"/>
  <c r="L32" i="5" s="1"/>
  <c r="F33" i="5"/>
  <c r="L33" i="5" s="1"/>
  <c r="F34" i="5"/>
  <c r="L34" i="5" s="1"/>
  <c r="F35" i="5"/>
  <c r="L35" i="5" s="1"/>
  <c r="F36" i="5"/>
  <c r="L36" i="5" s="1"/>
  <c r="F37" i="5"/>
  <c r="L37" i="5" s="1"/>
  <c r="F38" i="5"/>
  <c r="L38" i="5" s="1"/>
  <c r="F39" i="5"/>
  <c r="L39" i="5" s="1"/>
  <c r="F40" i="5"/>
  <c r="L40" i="5" s="1"/>
  <c r="F41" i="5"/>
  <c r="L41" i="5" s="1"/>
  <c r="F42" i="5"/>
  <c r="L42" i="5" s="1"/>
  <c r="F43" i="5"/>
  <c r="L43" i="5" s="1"/>
  <c r="F44" i="5"/>
  <c r="L44" i="5" s="1"/>
  <c r="F45" i="5"/>
  <c r="L45" i="5" s="1"/>
  <c r="F46" i="5"/>
  <c r="L46" i="5" s="1"/>
  <c r="F47" i="5"/>
  <c r="L47" i="5" s="1"/>
  <c r="F48" i="5"/>
  <c r="L48" i="5" s="1"/>
  <c r="F49" i="5"/>
  <c r="L49" i="5" s="1"/>
  <c r="F50" i="5"/>
  <c r="L50" i="5" s="1"/>
  <c r="F51" i="5"/>
  <c r="L51" i="5" s="1"/>
  <c r="F52" i="5"/>
  <c r="L52" i="5" s="1"/>
  <c r="F53" i="5"/>
  <c r="L53" i="5" s="1"/>
  <c r="F54" i="5"/>
  <c r="L54" i="5" s="1"/>
  <c r="F55" i="5"/>
  <c r="L55" i="5" s="1"/>
  <c r="F56" i="5"/>
  <c r="L56" i="5" s="1"/>
  <c r="F57" i="5"/>
  <c r="L57" i="5" s="1"/>
  <c r="F58" i="5"/>
  <c r="L58" i="5" s="1"/>
  <c r="F59" i="5"/>
  <c r="L59" i="5" s="1"/>
  <c r="F60" i="5"/>
  <c r="L60" i="5" s="1"/>
  <c r="F61" i="5"/>
  <c r="L61" i="5" s="1"/>
  <c r="F62" i="5"/>
  <c r="L62" i="5" s="1"/>
  <c r="F63" i="5"/>
  <c r="L63" i="5" s="1"/>
  <c r="F64" i="5"/>
  <c r="L64" i="5" s="1"/>
  <c r="F65" i="5"/>
  <c r="L65" i="5" s="1"/>
  <c r="F66" i="5"/>
  <c r="L66" i="5" s="1"/>
  <c r="F67" i="5"/>
  <c r="L67" i="5" s="1"/>
  <c r="F68" i="5"/>
  <c r="L68" i="5" s="1"/>
  <c r="F69" i="5"/>
  <c r="L69" i="5" s="1"/>
  <c r="F70" i="5"/>
  <c r="L70" i="5" s="1"/>
  <c r="F71" i="5"/>
  <c r="L71" i="5" s="1"/>
  <c r="F72" i="5"/>
  <c r="L72" i="5" s="1"/>
  <c r="F73" i="5"/>
  <c r="L73" i="5" s="1"/>
  <c r="F74" i="5"/>
  <c r="L74" i="5" s="1"/>
  <c r="F75" i="5"/>
  <c r="L75" i="5" s="1"/>
  <c r="F76" i="5"/>
  <c r="L76" i="5" s="1"/>
  <c r="F77" i="5"/>
  <c r="L77" i="5" s="1"/>
  <c r="F78" i="5"/>
  <c r="L78" i="5" s="1"/>
  <c r="F79" i="5"/>
  <c r="L79" i="5" s="1"/>
  <c r="F80" i="5"/>
  <c r="L80" i="5" s="1"/>
  <c r="F81" i="5"/>
  <c r="L81" i="5" s="1"/>
  <c r="F82" i="5"/>
  <c r="L82" i="5" s="1"/>
  <c r="F83" i="5"/>
  <c r="L83" i="5" s="1"/>
  <c r="F84" i="5"/>
  <c r="L84" i="5" s="1"/>
  <c r="F85" i="5"/>
  <c r="L85" i="5" s="1"/>
  <c r="F86" i="5"/>
  <c r="L86" i="5" s="1"/>
  <c r="F87" i="5"/>
  <c r="L87" i="5" s="1"/>
  <c r="F88" i="5"/>
  <c r="L88" i="5" s="1"/>
  <c r="F89" i="5"/>
  <c r="L89" i="5" s="1"/>
  <c r="F90" i="5"/>
  <c r="L90" i="5" s="1"/>
  <c r="F91" i="5"/>
  <c r="L91" i="5" s="1"/>
  <c r="F92" i="5"/>
  <c r="L92" i="5" s="1"/>
  <c r="F93" i="5"/>
  <c r="L93" i="5" s="1"/>
  <c r="F94" i="5"/>
  <c r="L94" i="5" s="1"/>
  <c r="F95" i="5"/>
  <c r="L95" i="5" s="1"/>
  <c r="F96" i="5"/>
  <c r="L96" i="5" s="1"/>
  <c r="F97" i="5"/>
  <c r="L97" i="5" s="1"/>
  <c r="F98" i="5"/>
  <c r="L98" i="5" s="1"/>
  <c r="F99" i="5"/>
  <c r="L99" i="5" s="1"/>
  <c r="F100" i="5"/>
  <c r="L100" i="5" s="1"/>
  <c r="F101" i="5"/>
  <c r="L101" i="5" s="1"/>
  <c r="G2" i="5"/>
  <c r="M2" i="5" s="1"/>
  <c r="F2" i="5"/>
  <c r="L2" i="5" s="1"/>
  <c r="E3" i="5"/>
  <c r="K3" i="5" s="1"/>
  <c r="E4" i="5"/>
  <c r="K4" i="5" s="1"/>
  <c r="E5" i="5"/>
  <c r="K5" i="5" s="1"/>
  <c r="E6" i="5"/>
  <c r="K6" i="5" s="1"/>
  <c r="E7" i="5"/>
  <c r="K7" i="5" s="1"/>
  <c r="E8" i="5"/>
  <c r="K8" i="5" s="1"/>
  <c r="E9" i="5"/>
  <c r="K9" i="5" s="1"/>
  <c r="E10" i="5"/>
  <c r="K10" i="5" s="1"/>
  <c r="E11" i="5"/>
  <c r="K11" i="5" s="1"/>
  <c r="E12" i="5"/>
  <c r="K12" i="5" s="1"/>
  <c r="E13" i="5"/>
  <c r="K13" i="5" s="1"/>
  <c r="E14" i="5"/>
  <c r="K14" i="5" s="1"/>
  <c r="E15" i="5"/>
  <c r="K15" i="5" s="1"/>
  <c r="E16" i="5"/>
  <c r="K16" i="5" s="1"/>
  <c r="E17" i="5"/>
  <c r="K17" i="5" s="1"/>
  <c r="E18" i="5"/>
  <c r="K18" i="5" s="1"/>
  <c r="E19" i="5"/>
  <c r="K19" i="5" s="1"/>
  <c r="E20" i="5"/>
  <c r="K20" i="5" s="1"/>
  <c r="E21" i="5"/>
  <c r="K21" i="5" s="1"/>
  <c r="E22" i="5"/>
  <c r="K22" i="5" s="1"/>
  <c r="E23" i="5"/>
  <c r="K23" i="5" s="1"/>
  <c r="E24" i="5"/>
  <c r="K24" i="5" s="1"/>
  <c r="E25" i="5"/>
  <c r="K25" i="5" s="1"/>
  <c r="E26" i="5"/>
  <c r="K26" i="5" s="1"/>
  <c r="E27" i="5"/>
  <c r="K27" i="5" s="1"/>
  <c r="E28" i="5"/>
  <c r="K28" i="5" s="1"/>
  <c r="E29" i="5"/>
  <c r="K29" i="5" s="1"/>
  <c r="E30" i="5"/>
  <c r="K30" i="5" s="1"/>
  <c r="E31" i="5"/>
  <c r="K31" i="5" s="1"/>
  <c r="E32" i="5"/>
  <c r="K32" i="5" s="1"/>
  <c r="E33" i="5"/>
  <c r="K33" i="5" s="1"/>
  <c r="E34" i="5"/>
  <c r="K34" i="5" s="1"/>
  <c r="E35" i="5"/>
  <c r="K35" i="5" s="1"/>
  <c r="E36" i="5"/>
  <c r="K36" i="5" s="1"/>
  <c r="E37" i="5"/>
  <c r="K37" i="5" s="1"/>
  <c r="E38" i="5"/>
  <c r="K38" i="5" s="1"/>
  <c r="E39" i="5"/>
  <c r="K39" i="5" s="1"/>
  <c r="E40" i="5"/>
  <c r="K40" i="5" s="1"/>
  <c r="E41" i="5"/>
  <c r="K41" i="5" s="1"/>
  <c r="E42" i="5"/>
  <c r="K42" i="5" s="1"/>
  <c r="E43" i="5"/>
  <c r="K43" i="5" s="1"/>
  <c r="E44" i="5"/>
  <c r="K44" i="5" s="1"/>
  <c r="E45" i="5"/>
  <c r="K45" i="5" s="1"/>
  <c r="E46" i="5"/>
  <c r="K46" i="5" s="1"/>
  <c r="E47" i="5"/>
  <c r="K47" i="5" s="1"/>
  <c r="E48" i="5"/>
  <c r="K48" i="5" s="1"/>
  <c r="E49" i="5"/>
  <c r="K49" i="5" s="1"/>
  <c r="E50" i="5"/>
  <c r="K50" i="5" s="1"/>
  <c r="E51" i="5"/>
  <c r="K51" i="5" s="1"/>
  <c r="E52" i="5"/>
  <c r="K52" i="5" s="1"/>
  <c r="E53" i="5"/>
  <c r="K53" i="5" s="1"/>
  <c r="E54" i="5"/>
  <c r="K54" i="5" s="1"/>
  <c r="E55" i="5"/>
  <c r="K55" i="5" s="1"/>
  <c r="E56" i="5"/>
  <c r="K56" i="5" s="1"/>
  <c r="E57" i="5"/>
  <c r="K57" i="5" s="1"/>
  <c r="E58" i="5"/>
  <c r="K58" i="5" s="1"/>
  <c r="E59" i="5"/>
  <c r="K59" i="5" s="1"/>
  <c r="E60" i="5"/>
  <c r="K60" i="5" s="1"/>
  <c r="E61" i="5"/>
  <c r="K61" i="5" s="1"/>
  <c r="E62" i="5"/>
  <c r="K62" i="5" s="1"/>
  <c r="E63" i="5"/>
  <c r="K63" i="5" s="1"/>
  <c r="E64" i="5"/>
  <c r="K64" i="5" s="1"/>
  <c r="E65" i="5"/>
  <c r="K65" i="5" s="1"/>
  <c r="E66" i="5"/>
  <c r="K66" i="5" s="1"/>
  <c r="E67" i="5"/>
  <c r="K67" i="5" s="1"/>
  <c r="E68" i="5"/>
  <c r="K68" i="5" s="1"/>
  <c r="E69" i="5"/>
  <c r="K69" i="5" s="1"/>
  <c r="E70" i="5"/>
  <c r="K70" i="5" s="1"/>
  <c r="E71" i="5"/>
  <c r="K71" i="5" s="1"/>
  <c r="E72" i="5"/>
  <c r="K72" i="5" s="1"/>
  <c r="E73" i="5"/>
  <c r="K73" i="5" s="1"/>
  <c r="E74" i="5"/>
  <c r="K74" i="5" s="1"/>
  <c r="E75" i="5"/>
  <c r="K75" i="5" s="1"/>
  <c r="E76" i="5"/>
  <c r="K76" i="5" s="1"/>
  <c r="E77" i="5"/>
  <c r="K77" i="5" s="1"/>
  <c r="E78" i="5"/>
  <c r="K78" i="5" s="1"/>
  <c r="E79" i="5"/>
  <c r="K79" i="5" s="1"/>
  <c r="E80" i="5"/>
  <c r="K80" i="5" s="1"/>
  <c r="E81" i="5"/>
  <c r="K81" i="5" s="1"/>
  <c r="E82" i="5"/>
  <c r="K82" i="5" s="1"/>
  <c r="E83" i="5"/>
  <c r="K83" i="5" s="1"/>
  <c r="E84" i="5"/>
  <c r="K84" i="5" s="1"/>
  <c r="E85" i="5"/>
  <c r="K85" i="5" s="1"/>
  <c r="E86" i="5"/>
  <c r="K86" i="5" s="1"/>
  <c r="E87" i="5"/>
  <c r="K87" i="5" s="1"/>
  <c r="E88" i="5"/>
  <c r="K88" i="5" s="1"/>
  <c r="E89" i="5"/>
  <c r="K89" i="5" s="1"/>
  <c r="E90" i="5"/>
  <c r="K90" i="5" s="1"/>
  <c r="E91" i="5"/>
  <c r="K91" i="5" s="1"/>
  <c r="E92" i="5"/>
  <c r="K92" i="5" s="1"/>
  <c r="E93" i="5"/>
  <c r="K93" i="5" s="1"/>
  <c r="E94" i="5"/>
  <c r="K94" i="5" s="1"/>
  <c r="E95" i="5"/>
  <c r="K95" i="5" s="1"/>
  <c r="E96" i="5"/>
  <c r="K96" i="5" s="1"/>
  <c r="E97" i="5"/>
  <c r="K97" i="5" s="1"/>
  <c r="E98" i="5"/>
  <c r="K98" i="5" s="1"/>
  <c r="E99" i="5"/>
  <c r="K99" i="5" s="1"/>
  <c r="E100" i="5"/>
  <c r="K100" i="5" s="1"/>
  <c r="E101" i="5"/>
  <c r="K101" i="5" s="1"/>
  <c r="E2" i="5"/>
  <c r="K2" i="5" s="1"/>
  <c r="D3" i="5"/>
  <c r="J3" i="5" s="1"/>
  <c r="D4" i="5"/>
  <c r="J4" i="5" s="1"/>
  <c r="D5" i="5"/>
  <c r="J5" i="5" s="1"/>
  <c r="D6" i="5"/>
  <c r="J6" i="5" s="1"/>
  <c r="D7" i="5"/>
  <c r="J7" i="5" s="1"/>
  <c r="D8" i="5"/>
  <c r="J8" i="5" s="1"/>
  <c r="D9" i="5"/>
  <c r="J9" i="5" s="1"/>
  <c r="D10" i="5"/>
  <c r="J10" i="5" s="1"/>
  <c r="D11" i="5"/>
  <c r="J11" i="5" s="1"/>
  <c r="D12" i="5"/>
  <c r="J12" i="5" s="1"/>
  <c r="D13" i="5"/>
  <c r="J13" i="5" s="1"/>
  <c r="D14" i="5"/>
  <c r="J14" i="5" s="1"/>
  <c r="D15" i="5"/>
  <c r="J15" i="5" s="1"/>
  <c r="D16" i="5"/>
  <c r="J16" i="5" s="1"/>
  <c r="D17" i="5"/>
  <c r="J17" i="5" s="1"/>
  <c r="D18" i="5"/>
  <c r="J18" i="5" s="1"/>
  <c r="D19" i="5"/>
  <c r="J19" i="5" s="1"/>
  <c r="D20" i="5"/>
  <c r="J20" i="5" s="1"/>
  <c r="D21" i="5"/>
  <c r="J21" i="5" s="1"/>
  <c r="D22" i="5"/>
  <c r="J22" i="5" s="1"/>
  <c r="D23" i="5"/>
  <c r="J23" i="5" s="1"/>
  <c r="D24" i="5"/>
  <c r="J24" i="5" s="1"/>
  <c r="D25" i="5"/>
  <c r="J25" i="5" s="1"/>
  <c r="D26" i="5"/>
  <c r="J26" i="5" s="1"/>
  <c r="D27" i="5"/>
  <c r="J27" i="5" s="1"/>
  <c r="D28" i="5"/>
  <c r="J28" i="5" s="1"/>
  <c r="D29" i="5"/>
  <c r="J29" i="5" s="1"/>
  <c r="D30" i="5"/>
  <c r="J30" i="5" s="1"/>
  <c r="D31" i="5"/>
  <c r="J31" i="5" s="1"/>
  <c r="D32" i="5"/>
  <c r="J32" i="5" s="1"/>
  <c r="D33" i="5"/>
  <c r="J33" i="5" s="1"/>
  <c r="D34" i="5"/>
  <c r="J34" i="5" s="1"/>
  <c r="D35" i="5"/>
  <c r="J35" i="5" s="1"/>
  <c r="D36" i="5"/>
  <c r="J36" i="5" s="1"/>
  <c r="D37" i="5"/>
  <c r="J37" i="5" s="1"/>
  <c r="D38" i="5"/>
  <c r="J38" i="5" s="1"/>
  <c r="D39" i="5"/>
  <c r="J39" i="5" s="1"/>
  <c r="D40" i="5"/>
  <c r="J40" i="5" s="1"/>
  <c r="D41" i="5"/>
  <c r="J41" i="5" s="1"/>
  <c r="D42" i="5"/>
  <c r="J42" i="5" s="1"/>
  <c r="D43" i="5"/>
  <c r="J43" i="5" s="1"/>
  <c r="D44" i="5"/>
  <c r="J44" i="5" s="1"/>
  <c r="D45" i="5"/>
  <c r="J45" i="5" s="1"/>
  <c r="D46" i="5"/>
  <c r="J46" i="5" s="1"/>
  <c r="D47" i="5"/>
  <c r="J47" i="5" s="1"/>
  <c r="D48" i="5"/>
  <c r="J48" i="5" s="1"/>
  <c r="D49" i="5"/>
  <c r="J49" i="5" s="1"/>
  <c r="D50" i="5"/>
  <c r="J50" i="5" s="1"/>
  <c r="D51" i="5"/>
  <c r="J51" i="5" s="1"/>
  <c r="D52" i="5"/>
  <c r="J52" i="5" s="1"/>
  <c r="D53" i="5"/>
  <c r="J53" i="5" s="1"/>
  <c r="D54" i="5"/>
  <c r="J54" i="5" s="1"/>
  <c r="D55" i="5"/>
  <c r="J55" i="5" s="1"/>
  <c r="D56" i="5"/>
  <c r="J56" i="5" s="1"/>
  <c r="D57" i="5"/>
  <c r="J57" i="5" s="1"/>
  <c r="D58" i="5"/>
  <c r="J58" i="5" s="1"/>
  <c r="D59" i="5"/>
  <c r="J59" i="5" s="1"/>
  <c r="D60" i="5"/>
  <c r="J60" i="5" s="1"/>
  <c r="D61" i="5"/>
  <c r="J61" i="5" s="1"/>
  <c r="D62" i="5"/>
  <c r="J62" i="5" s="1"/>
  <c r="D63" i="5"/>
  <c r="J63" i="5" s="1"/>
  <c r="D64" i="5"/>
  <c r="J64" i="5" s="1"/>
  <c r="D65" i="5"/>
  <c r="J65" i="5" s="1"/>
  <c r="D66" i="5"/>
  <c r="J66" i="5" s="1"/>
  <c r="D67" i="5"/>
  <c r="J67" i="5" s="1"/>
  <c r="D68" i="5"/>
  <c r="J68" i="5" s="1"/>
  <c r="D69" i="5"/>
  <c r="J69" i="5" s="1"/>
  <c r="D70" i="5"/>
  <c r="J70" i="5" s="1"/>
  <c r="D71" i="5"/>
  <c r="J71" i="5" s="1"/>
  <c r="D72" i="5"/>
  <c r="J72" i="5" s="1"/>
  <c r="D73" i="5"/>
  <c r="J73" i="5" s="1"/>
  <c r="D74" i="5"/>
  <c r="J74" i="5" s="1"/>
  <c r="D75" i="5"/>
  <c r="J75" i="5" s="1"/>
  <c r="D76" i="5"/>
  <c r="J76" i="5" s="1"/>
  <c r="D77" i="5"/>
  <c r="J77" i="5" s="1"/>
  <c r="D78" i="5"/>
  <c r="J78" i="5" s="1"/>
  <c r="D79" i="5"/>
  <c r="J79" i="5" s="1"/>
  <c r="D80" i="5"/>
  <c r="J80" i="5" s="1"/>
  <c r="D81" i="5"/>
  <c r="J81" i="5" s="1"/>
  <c r="D82" i="5"/>
  <c r="J82" i="5" s="1"/>
  <c r="D83" i="5"/>
  <c r="J83" i="5" s="1"/>
  <c r="D84" i="5"/>
  <c r="J84" i="5" s="1"/>
  <c r="D85" i="5"/>
  <c r="J85" i="5" s="1"/>
  <c r="D86" i="5"/>
  <c r="J86" i="5" s="1"/>
  <c r="D87" i="5"/>
  <c r="J87" i="5" s="1"/>
  <c r="D88" i="5"/>
  <c r="J88" i="5" s="1"/>
  <c r="D89" i="5"/>
  <c r="J89" i="5" s="1"/>
  <c r="D90" i="5"/>
  <c r="J90" i="5" s="1"/>
  <c r="D91" i="5"/>
  <c r="J91" i="5" s="1"/>
  <c r="D92" i="5"/>
  <c r="J92" i="5" s="1"/>
  <c r="D93" i="5"/>
  <c r="J93" i="5" s="1"/>
  <c r="D94" i="5"/>
  <c r="J94" i="5" s="1"/>
  <c r="D95" i="5"/>
  <c r="J95" i="5" s="1"/>
  <c r="D96" i="5"/>
  <c r="J96" i="5" s="1"/>
  <c r="D97" i="5"/>
  <c r="J97" i="5" s="1"/>
  <c r="D98" i="5"/>
  <c r="J98" i="5" s="1"/>
  <c r="D99" i="5"/>
  <c r="J99" i="5" s="1"/>
  <c r="D100" i="5"/>
  <c r="J100" i="5" s="1"/>
  <c r="D101" i="5"/>
  <c r="J101" i="5" s="1"/>
  <c r="D2" i="5"/>
  <c r="J2" i="5" s="1"/>
  <c r="C3" i="5"/>
  <c r="I3" i="5" s="1"/>
  <c r="C4" i="5"/>
  <c r="I4" i="5" s="1"/>
  <c r="C5" i="5"/>
  <c r="I5" i="5" s="1"/>
  <c r="C6" i="5"/>
  <c r="I6" i="5" s="1"/>
  <c r="C7" i="5"/>
  <c r="I7" i="5" s="1"/>
  <c r="C8" i="5"/>
  <c r="I8" i="5" s="1"/>
  <c r="C9" i="5"/>
  <c r="I9" i="5" s="1"/>
  <c r="C10" i="5"/>
  <c r="I10" i="5" s="1"/>
  <c r="C11" i="5"/>
  <c r="I11" i="5" s="1"/>
  <c r="C12" i="5"/>
  <c r="I12" i="5" s="1"/>
  <c r="C13" i="5"/>
  <c r="I13" i="5" s="1"/>
  <c r="C14" i="5"/>
  <c r="I14" i="5" s="1"/>
  <c r="C15" i="5"/>
  <c r="I15" i="5" s="1"/>
  <c r="C16" i="5"/>
  <c r="I16" i="5" s="1"/>
  <c r="C17" i="5"/>
  <c r="I17" i="5" s="1"/>
  <c r="C18" i="5"/>
  <c r="I18" i="5" s="1"/>
  <c r="C19" i="5"/>
  <c r="I19" i="5" s="1"/>
  <c r="C20" i="5"/>
  <c r="I20" i="5" s="1"/>
  <c r="C21" i="5"/>
  <c r="I21" i="5" s="1"/>
  <c r="C22" i="5"/>
  <c r="I22" i="5" s="1"/>
  <c r="C23" i="5"/>
  <c r="I23" i="5" s="1"/>
  <c r="C24" i="5"/>
  <c r="I24" i="5" s="1"/>
  <c r="C25" i="5"/>
  <c r="I25" i="5" s="1"/>
  <c r="C26" i="5"/>
  <c r="I26" i="5" s="1"/>
  <c r="C27" i="5"/>
  <c r="I27" i="5" s="1"/>
  <c r="C28" i="5"/>
  <c r="I28" i="5" s="1"/>
  <c r="C29" i="5"/>
  <c r="I29" i="5" s="1"/>
  <c r="C30" i="5"/>
  <c r="I30" i="5" s="1"/>
  <c r="C31" i="5"/>
  <c r="I31" i="5" s="1"/>
  <c r="C32" i="5"/>
  <c r="I32" i="5" s="1"/>
  <c r="C33" i="5"/>
  <c r="I33" i="5" s="1"/>
  <c r="C34" i="5"/>
  <c r="I34" i="5" s="1"/>
  <c r="C35" i="5"/>
  <c r="I35" i="5" s="1"/>
  <c r="C36" i="5"/>
  <c r="I36" i="5" s="1"/>
  <c r="C37" i="5"/>
  <c r="I37" i="5" s="1"/>
  <c r="C38" i="5"/>
  <c r="I38" i="5" s="1"/>
  <c r="C39" i="5"/>
  <c r="I39" i="5" s="1"/>
  <c r="C40" i="5"/>
  <c r="I40" i="5" s="1"/>
  <c r="C41" i="5"/>
  <c r="I41" i="5" s="1"/>
  <c r="C42" i="5"/>
  <c r="I42" i="5" s="1"/>
  <c r="C43" i="5"/>
  <c r="I43" i="5" s="1"/>
  <c r="C44" i="5"/>
  <c r="I44" i="5" s="1"/>
  <c r="C45" i="5"/>
  <c r="I45" i="5" s="1"/>
  <c r="C46" i="5"/>
  <c r="I46" i="5" s="1"/>
  <c r="C47" i="5"/>
  <c r="I47" i="5" s="1"/>
  <c r="C48" i="5"/>
  <c r="I48" i="5" s="1"/>
  <c r="C49" i="5"/>
  <c r="I49" i="5" s="1"/>
  <c r="C50" i="5"/>
  <c r="I50" i="5" s="1"/>
  <c r="C51" i="5"/>
  <c r="I51" i="5" s="1"/>
  <c r="C52" i="5"/>
  <c r="I52" i="5" s="1"/>
  <c r="C53" i="5"/>
  <c r="I53" i="5" s="1"/>
  <c r="C54" i="5"/>
  <c r="I54" i="5" s="1"/>
  <c r="C55" i="5"/>
  <c r="I55" i="5" s="1"/>
  <c r="C56" i="5"/>
  <c r="I56" i="5" s="1"/>
  <c r="C57" i="5"/>
  <c r="I57" i="5" s="1"/>
  <c r="C58" i="5"/>
  <c r="I58" i="5" s="1"/>
  <c r="C59" i="5"/>
  <c r="I59" i="5" s="1"/>
  <c r="C60" i="5"/>
  <c r="I60" i="5" s="1"/>
  <c r="C61" i="5"/>
  <c r="I61" i="5" s="1"/>
  <c r="C62" i="5"/>
  <c r="I62" i="5" s="1"/>
  <c r="C63" i="5"/>
  <c r="I63" i="5" s="1"/>
  <c r="C64" i="5"/>
  <c r="I64" i="5" s="1"/>
  <c r="C65" i="5"/>
  <c r="I65" i="5" s="1"/>
  <c r="C66" i="5"/>
  <c r="I66" i="5" s="1"/>
  <c r="C67" i="5"/>
  <c r="I67" i="5" s="1"/>
  <c r="C68" i="5"/>
  <c r="I68" i="5" s="1"/>
  <c r="C69" i="5"/>
  <c r="I69" i="5" s="1"/>
  <c r="C70" i="5"/>
  <c r="I70" i="5" s="1"/>
  <c r="C71" i="5"/>
  <c r="I71" i="5" s="1"/>
  <c r="C72" i="5"/>
  <c r="I72" i="5" s="1"/>
  <c r="C73" i="5"/>
  <c r="I73" i="5" s="1"/>
  <c r="C74" i="5"/>
  <c r="I74" i="5" s="1"/>
  <c r="C75" i="5"/>
  <c r="I75" i="5" s="1"/>
  <c r="C76" i="5"/>
  <c r="I76" i="5" s="1"/>
  <c r="C77" i="5"/>
  <c r="I77" i="5" s="1"/>
  <c r="C78" i="5"/>
  <c r="I78" i="5" s="1"/>
  <c r="C79" i="5"/>
  <c r="I79" i="5" s="1"/>
  <c r="C80" i="5"/>
  <c r="I80" i="5" s="1"/>
  <c r="C81" i="5"/>
  <c r="I81" i="5" s="1"/>
  <c r="C82" i="5"/>
  <c r="I82" i="5" s="1"/>
  <c r="C83" i="5"/>
  <c r="I83" i="5" s="1"/>
  <c r="C84" i="5"/>
  <c r="I84" i="5" s="1"/>
  <c r="C85" i="5"/>
  <c r="I85" i="5" s="1"/>
  <c r="C86" i="5"/>
  <c r="I86" i="5" s="1"/>
  <c r="C87" i="5"/>
  <c r="I87" i="5" s="1"/>
  <c r="C88" i="5"/>
  <c r="I88" i="5" s="1"/>
  <c r="C89" i="5"/>
  <c r="I89" i="5" s="1"/>
  <c r="C90" i="5"/>
  <c r="I90" i="5" s="1"/>
  <c r="C91" i="5"/>
  <c r="I91" i="5" s="1"/>
  <c r="C92" i="5"/>
  <c r="I92" i="5" s="1"/>
  <c r="C93" i="5"/>
  <c r="I93" i="5" s="1"/>
  <c r="C94" i="5"/>
  <c r="I94" i="5" s="1"/>
  <c r="C95" i="5"/>
  <c r="I95" i="5" s="1"/>
  <c r="C96" i="5"/>
  <c r="I96" i="5" s="1"/>
  <c r="C97" i="5"/>
  <c r="I97" i="5" s="1"/>
  <c r="C98" i="5"/>
  <c r="I98" i="5" s="1"/>
  <c r="C99" i="5"/>
  <c r="I99" i="5" s="1"/>
  <c r="C100" i="5"/>
  <c r="I100" i="5" s="1"/>
  <c r="C101" i="5"/>
  <c r="I101" i="5" s="1"/>
  <c r="C2" i="5"/>
  <c r="I2" i="5" s="1"/>
  <c r="B3" i="5"/>
  <c r="H3" i="5" s="1"/>
  <c r="B4" i="5"/>
  <c r="H4" i="5" s="1"/>
  <c r="B5" i="5"/>
  <c r="H5" i="5" s="1"/>
  <c r="B6" i="5"/>
  <c r="H6" i="5" s="1"/>
  <c r="B7" i="5"/>
  <c r="H7" i="5" s="1"/>
  <c r="B8" i="5"/>
  <c r="H8" i="5" s="1"/>
  <c r="B9" i="5"/>
  <c r="H9" i="5" s="1"/>
  <c r="B10" i="5"/>
  <c r="H10" i="5" s="1"/>
  <c r="B11" i="5"/>
  <c r="H11" i="5" s="1"/>
  <c r="B12" i="5"/>
  <c r="H12" i="5" s="1"/>
  <c r="B13" i="5"/>
  <c r="H13" i="5" s="1"/>
  <c r="B14" i="5"/>
  <c r="H14" i="5" s="1"/>
  <c r="B15" i="5"/>
  <c r="H15" i="5" s="1"/>
  <c r="B16" i="5"/>
  <c r="H16" i="5" s="1"/>
  <c r="B17" i="5"/>
  <c r="H17" i="5" s="1"/>
  <c r="B18" i="5"/>
  <c r="H18" i="5" s="1"/>
  <c r="B19" i="5"/>
  <c r="H19" i="5" s="1"/>
  <c r="B20" i="5"/>
  <c r="H20" i="5" s="1"/>
  <c r="B21" i="5"/>
  <c r="H21" i="5" s="1"/>
  <c r="B22" i="5"/>
  <c r="H22" i="5" s="1"/>
  <c r="B23" i="5"/>
  <c r="H23" i="5" s="1"/>
  <c r="B24" i="5"/>
  <c r="H24" i="5" s="1"/>
  <c r="B25" i="5"/>
  <c r="H25" i="5" s="1"/>
  <c r="B26" i="5"/>
  <c r="H26" i="5" s="1"/>
  <c r="B27" i="5"/>
  <c r="H27" i="5" s="1"/>
  <c r="B28" i="5"/>
  <c r="H28" i="5" s="1"/>
  <c r="B29" i="5"/>
  <c r="H29" i="5" s="1"/>
  <c r="B30" i="5"/>
  <c r="H30" i="5" s="1"/>
  <c r="B31" i="5"/>
  <c r="H31" i="5" s="1"/>
  <c r="B32" i="5"/>
  <c r="H32" i="5" s="1"/>
  <c r="B33" i="5"/>
  <c r="H33" i="5" s="1"/>
  <c r="B34" i="5"/>
  <c r="H34" i="5" s="1"/>
  <c r="B35" i="5"/>
  <c r="H35" i="5" s="1"/>
  <c r="B36" i="5"/>
  <c r="H36" i="5" s="1"/>
  <c r="B37" i="5"/>
  <c r="H37" i="5" s="1"/>
  <c r="B38" i="5"/>
  <c r="H38" i="5" s="1"/>
  <c r="B39" i="5"/>
  <c r="H39" i="5" s="1"/>
  <c r="B40" i="5"/>
  <c r="H40" i="5" s="1"/>
  <c r="B41" i="5"/>
  <c r="H41" i="5" s="1"/>
  <c r="B42" i="5"/>
  <c r="H42" i="5" s="1"/>
  <c r="B43" i="5"/>
  <c r="H43" i="5" s="1"/>
  <c r="B44" i="5"/>
  <c r="H44" i="5" s="1"/>
  <c r="B45" i="5"/>
  <c r="H45" i="5" s="1"/>
  <c r="B46" i="5"/>
  <c r="H46" i="5" s="1"/>
  <c r="B47" i="5"/>
  <c r="H47" i="5" s="1"/>
  <c r="B48" i="5"/>
  <c r="H48" i="5" s="1"/>
  <c r="B49" i="5"/>
  <c r="H49" i="5" s="1"/>
  <c r="B50" i="5"/>
  <c r="H50" i="5" s="1"/>
  <c r="B51" i="5"/>
  <c r="H51" i="5" s="1"/>
  <c r="B52" i="5"/>
  <c r="H52" i="5" s="1"/>
  <c r="B53" i="5"/>
  <c r="H53" i="5" s="1"/>
  <c r="B54" i="5"/>
  <c r="H54" i="5" s="1"/>
  <c r="B55" i="5"/>
  <c r="H55" i="5" s="1"/>
  <c r="B56" i="5"/>
  <c r="H56" i="5" s="1"/>
  <c r="B57" i="5"/>
  <c r="H57" i="5" s="1"/>
  <c r="B58" i="5"/>
  <c r="H58" i="5" s="1"/>
  <c r="B59" i="5"/>
  <c r="H59" i="5" s="1"/>
  <c r="B60" i="5"/>
  <c r="H60" i="5" s="1"/>
  <c r="B61" i="5"/>
  <c r="H61" i="5" s="1"/>
  <c r="B62" i="5"/>
  <c r="H62" i="5" s="1"/>
  <c r="B63" i="5"/>
  <c r="H63" i="5" s="1"/>
  <c r="B64" i="5"/>
  <c r="H64" i="5" s="1"/>
  <c r="B65" i="5"/>
  <c r="H65" i="5" s="1"/>
  <c r="B66" i="5"/>
  <c r="H66" i="5" s="1"/>
  <c r="B67" i="5"/>
  <c r="H67" i="5" s="1"/>
  <c r="B68" i="5"/>
  <c r="H68" i="5" s="1"/>
  <c r="B69" i="5"/>
  <c r="H69" i="5" s="1"/>
  <c r="B70" i="5"/>
  <c r="H70" i="5" s="1"/>
  <c r="B71" i="5"/>
  <c r="H71" i="5" s="1"/>
  <c r="B72" i="5"/>
  <c r="H72" i="5" s="1"/>
  <c r="B73" i="5"/>
  <c r="H73" i="5" s="1"/>
  <c r="B74" i="5"/>
  <c r="H74" i="5" s="1"/>
  <c r="B75" i="5"/>
  <c r="H75" i="5" s="1"/>
  <c r="B76" i="5"/>
  <c r="H76" i="5" s="1"/>
  <c r="B77" i="5"/>
  <c r="H77" i="5" s="1"/>
  <c r="B78" i="5"/>
  <c r="H78" i="5" s="1"/>
  <c r="B79" i="5"/>
  <c r="H79" i="5" s="1"/>
  <c r="B80" i="5"/>
  <c r="H80" i="5" s="1"/>
  <c r="B81" i="5"/>
  <c r="H81" i="5" s="1"/>
  <c r="B82" i="5"/>
  <c r="H82" i="5" s="1"/>
  <c r="B83" i="5"/>
  <c r="H83" i="5" s="1"/>
  <c r="B84" i="5"/>
  <c r="H84" i="5" s="1"/>
  <c r="B85" i="5"/>
  <c r="H85" i="5" s="1"/>
  <c r="B86" i="5"/>
  <c r="H86" i="5" s="1"/>
  <c r="B87" i="5"/>
  <c r="H87" i="5" s="1"/>
  <c r="B88" i="5"/>
  <c r="H88" i="5" s="1"/>
  <c r="B89" i="5"/>
  <c r="H89" i="5" s="1"/>
  <c r="B90" i="5"/>
  <c r="H90" i="5" s="1"/>
  <c r="B91" i="5"/>
  <c r="H91" i="5" s="1"/>
  <c r="B92" i="5"/>
  <c r="H92" i="5" s="1"/>
  <c r="B93" i="5"/>
  <c r="H93" i="5" s="1"/>
  <c r="B94" i="5"/>
  <c r="H94" i="5" s="1"/>
  <c r="B95" i="5"/>
  <c r="H95" i="5" s="1"/>
  <c r="B96" i="5"/>
  <c r="H96" i="5" s="1"/>
  <c r="B97" i="5"/>
  <c r="H97" i="5" s="1"/>
  <c r="B98" i="5"/>
  <c r="H98" i="5" s="1"/>
  <c r="B99" i="5"/>
  <c r="H99" i="5" s="1"/>
  <c r="B100" i="5"/>
  <c r="H100" i="5" s="1"/>
  <c r="B101" i="5"/>
  <c r="H101" i="5" s="1"/>
  <c r="B2" i="5"/>
  <c r="H2" i="5" s="1"/>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U73" i="5" l="1" a="1"/>
  <c r="U73" i="5" s="1"/>
  <c r="A99" i="7"/>
  <c r="A95" i="7"/>
  <c r="A91" i="7"/>
  <c r="A87" i="7"/>
  <c r="A83" i="7"/>
  <c r="A79" i="7"/>
  <c r="A75" i="7"/>
  <c r="A71" i="7"/>
  <c r="A67" i="7"/>
  <c r="A63" i="7"/>
  <c r="A59" i="7"/>
  <c r="A55" i="7"/>
  <c r="A51" i="7"/>
  <c r="A47" i="7"/>
  <c r="A43" i="7"/>
  <c r="A39" i="7"/>
  <c r="A35" i="7"/>
  <c r="A31" i="7"/>
  <c r="A27" i="7"/>
  <c r="A23" i="7"/>
  <c r="A19" i="7"/>
  <c r="A15" i="7"/>
  <c r="A11" i="7"/>
  <c r="A7" i="7"/>
  <c r="A3" i="7"/>
  <c r="A2" i="7"/>
  <c r="A98" i="7"/>
  <c r="A94" i="7"/>
  <c r="A90" i="7"/>
  <c r="A86" i="7"/>
  <c r="A82" i="7"/>
  <c r="A78" i="7"/>
  <c r="A74" i="7"/>
  <c r="A70" i="7"/>
  <c r="A66" i="7"/>
  <c r="A62" i="7"/>
  <c r="A58" i="7"/>
  <c r="A54" i="7"/>
  <c r="A50" i="7"/>
  <c r="A46" i="7"/>
  <c r="A42" i="7"/>
  <c r="A38" i="7"/>
  <c r="A34" i="7"/>
  <c r="A30" i="7"/>
  <c r="A26" i="7"/>
  <c r="A22" i="7"/>
  <c r="A18" i="7"/>
  <c r="A14" i="7"/>
  <c r="A10" i="7"/>
  <c r="A6" i="7"/>
  <c r="A101" i="7"/>
  <c r="A97" i="7"/>
  <c r="A93" i="7"/>
  <c r="A89" i="7"/>
  <c r="A85" i="7"/>
  <c r="A81" i="7"/>
  <c r="A77" i="7"/>
  <c r="A73" i="7"/>
  <c r="A69" i="7"/>
  <c r="A65" i="7"/>
  <c r="A61" i="7"/>
  <c r="A57" i="7"/>
  <c r="A53" i="7"/>
  <c r="A49" i="7"/>
  <c r="A45" i="7"/>
  <c r="A41" i="7"/>
  <c r="A37" i="7"/>
  <c r="A33" i="7"/>
  <c r="A29" i="7"/>
  <c r="A25" i="7"/>
  <c r="A21" i="7"/>
  <c r="A17" i="7"/>
  <c r="A13" i="7"/>
  <c r="A9" i="7"/>
  <c r="A5" i="7"/>
  <c r="A100" i="7"/>
  <c r="A96" i="7"/>
  <c r="A92" i="7"/>
  <c r="A88" i="7"/>
  <c r="A84" i="7"/>
  <c r="A80" i="7"/>
  <c r="A76" i="7"/>
  <c r="A72" i="7"/>
  <c r="A68" i="7"/>
  <c r="A64" i="7"/>
  <c r="A60" i="7"/>
  <c r="A56" i="7"/>
  <c r="A52" i="7"/>
  <c r="A48" i="7"/>
  <c r="A44" i="7"/>
  <c r="A40" i="7"/>
  <c r="A36" i="7"/>
  <c r="A32" i="7"/>
  <c r="A28" i="7"/>
  <c r="A24" i="7"/>
  <c r="A20" i="7"/>
  <c r="A16" i="7"/>
  <c r="A12" i="7"/>
  <c r="A8" i="7"/>
  <c r="A4" i="7"/>
  <c r="O51" i="5"/>
  <c r="P51" i="5" s="1" a="1"/>
  <c r="P51" i="5" s="1"/>
  <c r="C51" i="6" s="1"/>
  <c r="O28" i="5"/>
  <c r="P28" i="5" s="1" a="1"/>
  <c r="P28" i="5" s="1"/>
  <c r="C28" i="6" s="1"/>
  <c r="O2" i="5"/>
  <c r="P2" i="5" s="1" a="1"/>
  <c r="P2" i="5" s="1"/>
  <c r="Q2" i="5" s="1" a="1"/>
  <c r="Q2" i="5" s="1"/>
  <c r="D2" i="6" s="1"/>
  <c r="O38" i="5"/>
  <c r="P38" i="5" s="1" a="1"/>
  <c r="P38" i="5" s="1"/>
  <c r="C38" i="6" s="1"/>
  <c r="M92" i="5"/>
  <c r="M84" i="5"/>
  <c r="O84" i="5" s="1"/>
  <c r="P84" i="5" s="1" a="1"/>
  <c r="P84" i="5" s="1"/>
  <c r="M76" i="5"/>
  <c r="O76" i="5" s="1"/>
  <c r="P76" i="5" s="1" a="1"/>
  <c r="P76" i="5" s="1"/>
  <c r="M68" i="5"/>
  <c r="O68" i="5" s="1"/>
  <c r="P68" i="5" s="1" a="1"/>
  <c r="P68" i="5" s="1"/>
  <c r="M56" i="5"/>
  <c r="O56" i="5" s="1"/>
  <c r="P56" i="5" s="1" a="1"/>
  <c r="P56" i="5" s="1"/>
  <c r="M48" i="5"/>
  <c r="M40" i="5"/>
  <c r="O40" i="5" s="1"/>
  <c r="P40" i="5" s="1" a="1"/>
  <c r="P40" i="5" s="1"/>
  <c r="C40" i="6" s="1"/>
  <c r="M19" i="5"/>
  <c r="O19" i="5" s="1"/>
  <c r="M11" i="5"/>
  <c r="O11" i="5" s="1"/>
  <c r="P11" i="5" s="1" a="1"/>
  <c r="P11" i="5" s="1"/>
  <c r="M3" i="5"/>
  <c r="O3" i="5" s="1"/>
  <c r="P3" i="5" s="1" a="1"/>
  <c r="P3" i="5" s="1"/>
  <c r="O82" i="5"/>
  <c r="P82" i="5" s="1" a="1"/>
  <c r="P82" i="5" s="1"/>
  <c r="C82" i="6" s="1"/>
  <c r="M99" i="5"/>
  <c r="O99" i="5" s="1"/>
  <c r="P99" i="5" s="1" a="1"/>
  <c r="P99" i="5" s="1"/>
  <c r="M95" i="5"/>
  <c r="O95" i="5" s="1"/>
  <c r="P95" i="5" s="1" a="1"/>
  <c r="P95" i="5" s="1"/>
  <c r="M91" i="5"/>
  <c r="O91" i="5" s="1"/>
  <c r="P91" i="5" s="1" a="1"/>
  <c r="P91" i="5" s="1"/>
  <c r="C91" i="6" s="1"/>
  <c r="M87" i="5"/>
  <c r="O87" i="5" s="1"/>
  <c r="P87" i="5" s="1" a="1"/>
  <c r="P87" i="5" s="1"/>
  <c r="C87" i="6" s="1"/>
  <c r="M83" i="5"/>
  <c r="O83" i="5" s="1"/>
  <c r="P83" i="5" s="1" a="1"/>
  <c r="P83" i="5" s="1"/>
  <c r="M79" i="5"/>
  <c r="O79" i="5" s="1"/>
  <c r="P79" i="5" s="1" a="1"/>
  <c r="P79" i="5" s="1"/>
  <c r="M75" i="5"/>
  <c r="O75" i="5" s="1"/>
  <c r="P75" i="5" s="1" a="1"/>
  <c r="P75" i="5" s="1"/>
  <c r="M67" i="5"/>
  <c r="O67" i="5" s="1"/>
  <c r="P67" i="5" s="1" a="1"/>
  <c r="P67" i="5" s="1"/>
  <c r="M63" i="5"/>
  <c r="O63" i="5" s="1"/>
  <c r="P63" i="5" s="1" a="1"/>
  <c r="P63" i="5" s="1"/>
  <c r="M59" i="5"/>
  <c r="O59" i="5" s="1"/>
  <c r="P59" i="5" s="1" a="1"/>
  <c r="P59" i="5" s="1"/>
  <c r="C59" i="6" s="1"/>
  <c r="M55" i="5"/>
  <c r="O55" i="5" s="1"/>
  <c r="P55" i="5" s="1" a="1"/>
  <c r="P55" i="5" s="1"/>
  <c r="M47" i="5"/>
  <c r="O47" i="5" s="1"/>
  <c r="P47" i="5" s="1" a="1"/>
  <c r="P47" i="5" s="1"/>
  <c r="M43" i="5"/>
  <c r="O43" i="5" s="1"/>
  <c r="P43" i="5" s="1" a="1"/>
  <c r="P43" i="5" s="1"/>
  <c r="Q43" i="5" s="1" a="1"/>
  <c r="Q43" i="5" s="1"/>
  <c r="M35" i="5"/>
  <c r="O35" i="5" s="1"/>
  <c r="P35" i="5" s="1" a="1"/>
  <c r="P35" i="5" s="1"/>
  <c r="C35" i="6" s="1"/>
  <c r="M31" i="5"/>
  <c r="O31" i="5" s="1"/>
  <c r="M27" i="5"/>
  <c r="O27" i="5" s="1"/>
  <c r="P27" i="5" s="1" a="1"/>
  <c r="P27" i="5" s="1"/>
  <c r="C27" i="6" s="1"/>
  <c r="M22" i="5"/>
  <c r="O22" i="5" s="1"/>
  <c r="P22" i="5" s="1" a="1"/>
  <c r="P22" i="5" s="1"/>
  <c r="C22" i="6" s="1"/>
  <c r="M18" i="5"/>
  <c r="O18" i="5" s="1"/>
  <c r="P18" i="5" s="1" a="1"/>
  <c r="P18" i="5" s="1"/>
  <c r="M14" i="5"/>
  <c r="O14" i="5" s="1"/>
  <c r="P14" i="5" s="1" a="1"/>
  <c r="P14" i="5" s="1"/>
  <c r="M10" i="5"/>
  <c r="O10" i="5" s="1"/>
  <c r="P10" i="5" s="1" a="1"/>
  <c r="P10" i="5" s="1"/>
  <c r="C10" i="6" s="1"/>
  <c r="M39" i="5"/>
  <c r="O39" i="5" s="1"/>
  <c r="P39" i="5" s="1" a="1"/>
  <c r="P39" i="5" s="1"/>
  <c r="Q39" i="5" s="1" a="1"/>
  <c r="Q39" i="5" s="1"/>
  <c r="O92" i="5"/>
  <c r="P92" i="5" s="1" a="1"/>
  <c r="P92" i="5" s="1"/>
  <c r="C92" i="6" s="1"/>
  <c r="O48" i="5"/>
  <c r="P48" i="5" s="1" a="1"/>
  <c r="P48" i="5" s="1"/>
  <c r="C48" i="6" s="1"/>
  <c r="M100" i="5"/>
  <c r="O100" i="5" s="1"/>
  <c r="P100" i="5" s="1" a="1"/>
  <c r="P100" i="5" s="1"/>
  <c r="M96" i="5"/>
  <c r="O96" i="5" s="1"/>
  <c r="P96" i="5" s="1" a="1"/>
  <c r="P96" i="5" s="1"/>
  <c r="M88" i="5"/>
  <c r="O88" i="5" s="1"/>
  <c r="P88" i="5" s="1" a="1"/>
  <c r="P88" i="5" s="1"/>
  <c r="C88" i="6" s="1"/>
  <c r="M80" i="5"/>
  <c r="O80" i="5" s="1"/>
  <c r="P80" i="5" s="1" a="1"/>
  <c r="P80" i="5" s="1"/>
  <c r="M72" i="5"/>
  <c r="O72" i="5" s="1"/>
  <c r="P72" i="5" s="1" a="1"/>
  <c r="P72" i="5" s="1"/>
  <c r="C72" i="6" s="1"/>
  <c r="M64" i="5"/>
  <c r="O64" i="5" s="1"/>
  <c r="P64" i="5" s="1" a="1"/>
  <c r="P64" i="5" s="1"/>
  <c r="M60" i="5"/>
  <c r="O60" i="5" s="1"/>
  <c r="P60" i="5" s="1" a="1"/>
  <c r="P60" i="5" s="1"/>
  <c r="C60" i="6" s="1"/>
  <c r="M52" i="5"/>
  <c r="O52" i="5" s="1"/>
  <c r="P52" i="5" s="1" a="1"/>
  <c r="P52" i="5" s="1"/>
  <c r="M44" i="5"/>
  <c r="O44" i="5" s="1"/>
  <c r="P44" i="5" s="1" a="1"/>
  <c r="P44" i="5" s="1"/>
  <c r="M36" i="5"/>
  <c r="O36" i="5" s="1"/>
  <c r="P36" i="5" s="1" a="1"/>
  <c r="P36" i="5" s="1"/>
  <c r="M32" i="5"/>
  <c r="O32" i="5" s="1"/>
  <c r="P32" i="5" s="1" a="1"/>
  <c r="P32" i="5" s="1"/>
  <c r="C32" i="6" s="1"/>
  <c r="M24" i="5"/>
  <c r="O24" i="5" s="1"/>
  <c r="P24" i="5" s="1" a="1"/>
  <c r="P24" i="5" s="1"/>
  <c r="Q24" i="5" s="1" a="1"/>
  <c r="Q24" i="5" s="1"/>
  <c r="M15" i="5"/>
  <c r="O15" i="5" s="1"/>
  <c r="P15" i="5" s="1" a="1"/>
  <c r="P15" i="5" s="1"/>
  <c r="M7" i="5"/>
  <c r="O7" i="5" s="1"/>
  <c r="P7" i="5" s="1" a="1"/>
  <c r="P7" i="5" s="1"/>
  <c r="O50" i="5"/>
  <c r="P50" i="5" s="1" a="1"/>
  <c r="P50" i="5" s="1"/>
  <c r="C50" i="6" s="1"/>
  <c r="O93" i="5"/>
  <c r="P93" i="5" s="1" a="1"/>
  <c r="P93" i="5" s="1"/>
  <c r="C93" i="6" s="1"/>
  <c r="O45" i="5"/>
  <c r="P45" i="5" s="1" a="1"/>
  <c r="P45" i="5" s="1"/>
  <c r="C45" i="6" s="1"/>
  <c r="O29" i="5"/>
  <c r="P29" i="5" s="1" a="1"/>
  <c r="P29" i="5" s="1"/>
  <c r="C29" i="6" s="1"/>
  <c r="O17" i="5"/>
  <c r="P17" i="5" s="1" a="1"/>
  <c r="P17" i="5" s="1"/>
  <c r="C17" i="6" s="1"/>
  <c r="O13" i="5"/>
  <c r="P13" i="5" s="1" a="1"/>
  <c r="P13" i="5" s="1"/>
  <c r="C13" i="6" s="1"/>
  <c r="O5" i="5"/>
  <c r="P5" i="5" s="1" a="1"/>
  <c r="P5" i="5" s="1"/>
  <c r="C5" i="6" s="1"/>
  <c r="M98" i="5"/>
  <c r="O98" i="5" s="1"/>
  <c r="P98" i="5" s="1" a="1"/>
  <c r="P98" i="5" s="1"/>
  <c r="C98" i="6" s="1"/>
  <c r="M94" i="5"/>
  <c r="O94" i="5" s="1"/>
  <c r="P94" i="5" s="1" a="1"/>
  <c r="P94" i="5" s="1"/>
  <c r="M90" i="5"/>
  <c r="O90" i="5" s="1"/>
  <c r="P90" i="5" s="1" a="1"/>
  <c r="P90" i="5" s="1"/>
  <c r="M86" i="5"/>
  <c r="O86" i="5" s="1"/>
  <c r="P86" i="5" s="1" a="1"/>
  <c r="P86" i="5" s="1"/>
  <c r="M78" i="5"/>
  <c r="O78" i="5" s="1"/>
  <c r="P78" i="5" s="1" a="1"/>
  <c r="P78" i="5" s="1"/>
  <c r="M74" i="5"/>
  <c r="O74" i="5" s="1"/>
  <c r="P74" i="5" s="1" a="1"/>
  <c r="P74" i="5" s="1"/>
  <c r="M70" i="5"/>
  <c r="O70" i="5" s="1"/>
  <c r="P70" i="5" s="1" a="1"/>
  <c r="P70" i="5" s="1"/>
  <c r="M66" i="5"/>
  <c r="O66" i="5" s="1"/>
  <c r="P66" i="5" s="1" a="1"/>
  <c r="P66" i="5" s="1"/>
  <c r="C66" i="6" s="1"/>
  <c r="M71" i="5"/>
  <c r="O71" i="5" s="1"/>
  <c r="P71" i="5" s="1" a="1"/>
  <c r="P71" i="5" s="1"/>
  <c r="M101" i="5"/>
  <c r="O101" i="5" s="1"/>
  <c r="P101" i="5" s="1" a="1"/>
  <c r="P101" i="5" s="1"/>
  <c r="M97" i="5"/>
  <c r="O97" i="5" s="1"/>
  <c r="P97" i="5" s="1" a="1"/>
  <c r="P97" i="5" s="1"/>
  <c r="M89" i="5"/>
  <c r="O89" i="5" s="1"/>
  <c r="P89" i="5" s="1" a="1"/>
  <c r="P89" i="5" s="1"/>
  <c r="C89" i="6" s="1"/>
  <c r="M85" i="5"/>
  <c r="O85" i="5" s="1"/>
  <c r="P85" i="5" s="1" a="1"/>
  <c r="P85" i="5" s="1"/>
  <c r="M81" i="5"/>
  <c r="O81" i="5" s="1"/>
  <c r="P81" i="5" s="1" a="1"/>
  <c r="P81" i="5" s="1"/>
  <c r="M77" i="5"/>
  <c r="O77" i="5" s="1"/>
  <c r="P77" i="5" s="1" a="1"/>
  <c r="P77" i="5" s="1"/>
  <c r="M73" i="5"/>
  <c r="O73" i="5" s="1"/>
  <c r="P73" i="5" s="1" a="1"/>
  <c r="P73" i="5" s="1"/>
  <c r="C73" i="6" s="1"/>
  <c r="M69" i="5"/>
  <c r="O69" i="5" s="1"/>
  <c r="P69" i="5" s="1" a="1"/>
  <c r="P69" i="5" s="1"/>
  <c r="C69" i="6" s="1"/>
  <c r="M65" i="5"/>
  <c r="O65" i="5" s="1"/>
  <c r="P65" i="5" s="1" a="1"/>
  <c r="P65" i="5" s="1"/>
  <c r="M57" i="5"/>
  <c r="O57" i="5" s="1"/>
  <c r="P57" i="5" s="1" a="1"/>
  <c r="P57" i="5" s="1"/>
  <c r="C57" i="6" s="1"/>
  <c r="M53" i="5"/>
  <c r="O53" i="5" s="1"/>
  <c r="P53" i="5" s="1" a="1"/>
  <c r="P53" i="5" s="1"/>
  <c r="M61" i="5"/>
  <c r="O61" i="5" s="1"/>
  <c r="P61" i="5" s="1" a="1"/>
  <c r="P61" i="5" s="1"/>
  <c r="M49" i="5"/>
  <c r="O49" i="5" s="1"/>
  <c r="P49" i="5" s="1" a="1"/>
  <c r="P49" i="5" s="1"/>
  <c r="M62" i="5"/>
  <c r="O62" i="5" s="1"/>
  <c r="P62" i="5" s="1" a="1"/>
  <c r="P62" i="5" s="1"/>
  <c r="M58" i="5"/>
  <c r="O58" i="5" s="1"/>
  <c r="P58" i="5" s="1" a="1"/>
  <c r="P58" i="5" s="1"/>
  <c r="M46" i="5"/>
  <c r="O46" i="5" s="1"/>
  <c r="P46" i="5" s="1" a="1"/>
  <c r="P46" i="5" s="1"/>
  <c r="M42" i="5"/>
  <c r="O42" i="5" s="1"/>
  <c r="P42" i="5" s="1" a="1"/>
  <c r="P42" i="5" s="1"/>
  <c r="Q42" i="5" s="1" a="1"/>
  <c r="Q42" i="5" s="1"/>
  <c r="M30" i="5"/>
  <c r="O30" i="5" s="1"/>
  <c r="P30" i="5" s="1" a="1"/>
  <c r="P30" i="5" s="1"/>
  <c r="M26" i="5"/>
  <c r="O26" i="5" s="1"/>
  <c r="P26" i="5" s="1" a="1"/>
  <c r="P26" i="5" s="1"/>
  <c r="M21" i="5"/>
  <c r="O21" i="5" s="1"/>
  <c r="P21" i="5" s="1" a="1"/>
  <c r="P21" i="5" s="1"/>
  <c r="C21" i="6" s="1"/>
  <c r="M34" i="5"/>
  <c r="O34" i="5" s="1"/>
  <c r="P34" i="5" s="1" a="1"/>
  <c r="P34" i="5" s="1"/>
  <c r="C34" i="6" s="1"/>
  <c r="O23" i="5"/>
  <c r="P23" i="5" s="1" a="1"/>
  <c r="P23" i="5" s="1"/>
  <c r="C23" i="6" s="1"/>
  <c r="M9" i="5"/>
  <c r="O9" i="5" s="1"/>
  <c r="P9" i="5" s="1" a="1"/>
  <c r="P9" i="5" s="1"/>
  <c r="M41" i="5"/>
  <c r="O41" i="5" s="1"/>
  <c r="P41" i="5" s="1" a="1"/>
  <c r="P41" i="5" s="1"/>
  <c r="C41" i="6" s="1"/>
  <c r="M37" i="5"/>
  <c r="O37" i="5" s="1"/>
  <c r="P37" i="5" s="1" a="1"/>
  <c r="P37" i="5" s="1"/>
  <c r="M25" i="5"/>
  <c r="O25" i="5" s="1"/>
  <c r="P25" i="5" s="1" a="1"/>
  <c r="P25" i="5" s="1"/>
  <c r="M20" i="5"/>
  <c r="O20" i="5" s="1"/>
  <c r="P20" i="5" s="1" a="1"/>
  <c r="P20" i="5" s="1"/>
  <c r="M16" i="5"/>
  <c r="O16" i="5" s="1"/>
  <c r="P16" i="5" s="1" a="1"/>
  <c r="P16" i="5" s="1"/>
  <c r="M12" i="5"/>
  <c r="O12" i="5" s="1"/>
  <c r="P12" i="5" s="1" a="1"/>
  <c r="P12" i="5" s="1"/>
  <c r="C12" i="6" s="1"/>
  <c r="M8" i="5"/>
  <c r="O8" i="5" s="1"/>
  <c r="P8" i="5" s="1" a="1"/>
  <c r="P8" i="5" s="1"/>
  <c r="M4" i="5"/>
  <c r="O4" i="5" s="1"/>
  <c r="P4" i="5" s="1" a="1"/>
  <c r="P4" i="5" s="1"/>
  <c r="Q4" i="5" s="1" a="1"/>
  <c r="Q4" i="5" s="1"/>
  <c r="M54" i="5"/>
  <c r="O54" i="5" s="1"/>
  <c r="P54" i="5" s="1" a="1"/>
  <c r="P54" i="5" s="1"/>
  <c r="M33" i="5"/>
  <c r="O33" i="5" s="1"/>
  <c r="P33" i="5" s="1" a="1"/>
  <c r="P33" i="5" s="1"/>
  <c r="C33" i="6" s="1"/>
  <c r="U6" i="5" a="1"/>
  <c r="U6" i="5" s="1"/>
  <c r="M6" i="5"/>
  <c r="O6" i="5" s="1"/>
  <c r="P6" i="5" s="1" a="1"/>
  <c r="P6" i="5" s="1"/>
  <c r="U5" i="5" a="1"/>
  <c r="U5" i="5" s="1"/>
  <c r="U10" i="5" a="1"/>
  <c r="U10" i="5" s="1"/>
  <c r="U11" i="5" a="1"/>
  <c r="U11" i="5" s="1"/>
  <c r="U12" i="5" a="1"/>
  <c r="U12" i="5" s="1"/>
  <c r="U13" i="5" a="1"/>
  <c r="U13" i="5" s="1"/>
  <c r="U16" i="5" a="1"/>
  <c r="U16" i="5" s="1"/>
  <c r="U17" i="5" a="1"/>
  <c r="U17" i="5" s="1"/>
  <c r="U18" i="5" a="1"/>
  <c r="U18" i="5" s="1"/>
  <c r="U19" i="5" a="1"/>
  <c r="U19" i="5" s="1"/>
  <c r="U20" i="5" a="1"/>
  <c r="U20" i="5" s="1"/>
  <c r="U21" i="5" a="1"/>
  <c r="U21" i="5" s="1"/>
  <c r="U22" i="5" a="1"/>
  <c r="U22" i="5" s="1"/>
  <c r="U23" i="5" a="1"/>
  <c r="U23" i="5" s="1"/>
  <c r="U24" i="5" a="1"/>
  <c r="U24" i="5" s="1"/>
  <c r="U25" i="5" a="1"/>
  <c r="U25" i="5" s="1"/>
  <c r="U27" i="5" a="1"/>
  <c r="U27" i="5" s="1"/>
  <c r="U28" i="5" a="1"/>
  <c r="U28" i="5" s="1"/>
  <c r="U29" i="5" a="1"/>
  <c r="U29" i="5" s="1"/>
  <c r="U30" i="5" a="1"/>
  <c r="U30" i="5" s="1"/>
  <c r="U32" i="5" a="1"/>
  <c r="U32" i="5" s="1"/>
  <c r="U33" i="5" a="1"/>
  <c r="U33" i="5" s="1"/>
  <c r="U34" i="5" a="1"/>
  <c r="U34" i="5" s="1"/>
  <c r="U36" i="5" a="1"/>
  <c r="U36" i="5" s="1"/>
  <c r="U37" i="5" a="1"/>
  <c r="U37" i="5" s="1"/>
  <c r="U38" i="5" a="1"/>
  <c r="U38" i="5" s="1"/>
  <c r="U39" i="5" a="1"/>
  <c r="U39" i="5" s="1"/>
  <c r="U40" i="5" a="1"/>
  <c r="U40" i="5" s="1"/>
  <c r="U41" i="5" a="1"/>
  <c r="U41" i="5" s="1"/>
  <c r="U42" i="5" a="1"/>
  <c r="U42" i="5" s="1"/>
  <c r="U43" i="5" a="1"/>
  <c r="U43" i="5" s="1"/>
  <c r="U44" i="5" a="1"/>
  <c r="U44" i="5" s="1"/>
  <c r="U45" i="5" a="1"/>
  <c r="U45" i="5" s="1"/>
  <c r="U46" i="5" a="1"/>
  <c r="U46" i="5" s="1"/>
  <c r="U47" i="5" a="1"/>
  <c r="U47" i="5" s="1"/>
  <c r="U48" i="5" a="1"/>
  <c r="U48" i="5" s="1"/>
  <c r="U49" i="5" a="1"/>
  <c r="U49" i="5" s="1"/>
  <c r="U50" i="5" a="1"/>
  <c r="U50" i="5" s="1"/>
  <c r="U51" i="5" a="1"/>
  <c r="U51" i="5" s="1"/>
  <c r="U52" i="5" a="1"/>
  <c r="U52" i="5" s="1"/>
  <c r="U53" i="5" a="1"/>
  <c r="U53" i="5" s="1"/>
  <c r="U54" i="5" a="1"/>
  <c r="U54" i="5" s="1"/>
  <c r="U55" i="5" a="1"/>
  <c r="U55" i="5" s="1"/>
  <c r="U56" i="5" a="1"/>
  <c r="U56" i="5" s="1"/>
  <c r="U57" i="5" a="1"/>
  <c r="U57" i="5" s="1"/>
  <c r="U58" i="5" a="1"/>
  <c r="U58" i="5" s="1"/>
  <c r="U59" i="5" a="1"/>
  <c r="U59" i="5" s="1"/>
  <c r="U60" i="5" a="1"/>
  <c r="U60" i="5" s="1"/>
  <c r="U61" i="5" a="1"/>
  <c r="U61" i="5" s="1"/>
  <c r="U62" i="5" a="1"/>
  <c r="U62" i="5" s="1"/>
  <c r="U63" i="5" a="1"/>
  <c r="U63" i="5" s="1"/>
  <c r="U64" i="5" a="1"/>
  <c r="U64" i="5" s="1"/>
  <c r="U65" i="5" a="1"/>
  <c r="U65" i="5" s="1"/>
  <c r="U66" i="5" a="1"/>
  <c r="U66" i="5" s="1"/>
  <c r="U67" i="5" a="1"/>
  <c r="U67" i="5" s="1"/>
  <c r="U68" i="5" a="1"/>
  <c r="U68" i="5" s="1"/>
  <c r="U69" i="5" a="1"/>
  <c r="U69" i="5" s="1"/>
  <c r="U70" i="5" a="1"/>
  <c r="U70" i="5" s="1"/>
  <c r="U71" i="5" a="1"/>
  <c r="U71" i="5" s="1"/>
  <c r="U72" i="5" a="1"/>
  <c r="U72" i="5" s="1"/>
  <c r="U74" i="5" a="1"/>
  <c r="U74" i="5" s="1"/>
  <c r="U75" i="5" a="1"/>
  <c r="U75" i="5" s="1"/>
  <c r="U76" i="5" a="1"/>
  <c r="U76" i="5" s="1"/>
  <c r="U77" i="5" a="1"/>
  <c r="U77" i="5" s="1"/>
  <c r="U78" i="5" a="1"/>
  <c r="U78" i="5" s="1"/>
  <c r="U79" i="5" a="1"/>
  <c r="U79" i="5" s="1"/>
  <c r="U80" i="5" a="1"/>
  <c r="U80" i="5" s="1"/>
  <c r="U81" i="5" a="1"/>
  <c r="U81" i="5" s="1"/>
  <c r="U82" i="5" a="1"/>
  <c r="U82" i="5" s="1"/>
  <c r="U83" i="5" a="1"/>
  <c r="U83" i="5" s="1"/>
  <c r="U84" i="5" a="1"/>
  <c r="U84" i="5" s="1"/>
  <c r="U85" i="5" a="1"/>
  <c r="U85" i="5" s="1"/>
  <c r="U86" i="5" a="1"/>
  <c r="U86" i="5" s="1"/>
  <c r="U87" i="5" a="1"/>
  <c r="U87" i="5" s="1"/>
  <c r="U88" i="5" a="1"/>
  <c r="U88" i="5" s="1"/>
  <c r="U89" i="5" a="1"/>
  <c r="U89" i="5" s="1"/>
  <c r="U90" i="5" a="1"/>
  <c r="U90" i="5" s="1"/>
  <c r="U91" i="5" a="1"/>
  <c r="U91" i="5" s="1"/>
  <c r="U92" i="5" a="1"/>
  <c r="U92" i="5" s="1"/>
  <c r="U93" i="5" a="1"/>
  <c r="U93" i="5" s="1"/>
  <c r="U94" i="5" a="1"/>
  <c r="U94" i="5" s="1"/>
  <c r="U95" i="5" a="1"/>
  <c r="U95" i="5" s="1"/>
  <c r="U96" i="5" a="1"/>
  <c r="U96" i="5" s="1"/>
  <c r="U97" i="5" a="1"/>
  <c r="U97" i="5" s="1"/>
  <c r="U98" i="5" a="1"/>
  <c r="U98" i="5" s="1"/>
  <c r="U99" i="5" a="1"/>
  <c r="U99" i="5" s="1"/>
  <c r="U100" i="5" a="1"/>
  <c r="U100" i="5" s="1"/>
  <c r="U101" i="5" a="1"/>
  <c r="U101" i="5" s="1"/>
  <c r="U2" i="5" a="1"/>
  <c r="U2" i="5" s="1"/>
  <c r="U3" i="5" a="1"/>
  <c r="U3" i="5" s="1"/>
  <c r="U4" i="5" a="1"/>
  <c r="U4" i="5" s="1"/>
  <c r="U7" i="5" a="1"/>
  <c r="U7" i="5" s="1"/>
  <c r="U8" i="5" a="1"/>
  <c r="U8" i="5" s="1"/>
  <c r="U9" i="5" a="1"/>
  <c r="U9" i="5" s="1"/>
  <c r="U14" i="5" a="1"/>
  <c r="U14" i="5" s="1"/>
  <c r="U15" i="5" a="1"/>
  <c r="U15" i="5" s="1"/>
  <c r="U26" i="5" a="1"/>
  <c r="U26" i="5" s="1"/>
  <c r="U35" i="5" a="1"/>
  <c r="U35" i="5" s="1"/>
  <c r="C19" i="6" l="1"/>
  <c r="P19" i="5" a="1"/>
  <c r="P19" i="5" s="1"/>
  <c r="Q19" i="5" s="1" a="1"/>
  <c r="Q19" i="5" s="1"/>
  <c r="P31" i="5" a="1"/>
  <c r="P31" i="5" s="1"/>
  <c r="Q31" i="5" s="1" a="1"/>
  <c r="Q31" i="5" s="1"/>
  <c r="Q50" i="5" a="1"/>
  <c r="Q50" i="5" s="1"/>
  <c r="D50" i="6" s="1"/>
  <c r="Q28" i="5" a="1"/>
  <c r="Q28" i="5" s="1"/>
  <c r="Q51" i="5" a="1"/>
  <c r="Q51" i="5" s="1"/>
  <c r="C2" i="6"/>
  <c r="Q13" i="5" a="1"/>
  <c r="Q13" i="5" s="1"/>
  <c r="V13" i="5" s="1" a="1"/>
  <c r="V13" i="5" s="1"/>
  <c r="E13" i="6" s="1"/>
  <c r="Q69" i="5" a="1"/>
  <c r="Q69" i="5" s="1"/>
  <c r="Q23" i="5" a="1"/>
  <c r="Q23" i="5" s="1"/>
  <c r="V23" i="5" s="1" a="1"/>
  <c r="V23" i="5" s="1"/>
  <c r="E23" i="6" s="1"/>
  <c r="Q5" i="5" a="1"/>
  <c r="Q5" i="5" s="1"/>
  <c r="V5" i="5" s="1" a="1"/>
  <c r="V5" i="5" s="1"/>
  <c r="E5" i="6" s="1"/>
  <c r="Q98" i="5" a="1"/>
  <c r="Q98" i="5" s="1"/>
  <c r="D98" i="6" s="1"/>
  <c r="Q40" i="5" a="1"/>
  <c r="Q40" i="5" s="1"/>
  <c r="C6" i="6"/>
  <c r="Q6" i="5" a="1"/>
  <c r="Q6" i="5" s="1"/>
  <c r="D6" i="6" s="1"/>
  <c r="C24" i="6"/>
  <c r="V24" i="5" a="1"/>
  <c r="V24" i="5" s="1"/>
  <c r="E24" i="6" s="1"/>
  <c r="C77" i="6"/>
  <c r="Q77" i="5" a="1"/>
  <c r="Q77" i="5" s="1"/>
  <c r="V77" i="5" s="1" a="1"/>
  <c r="V77" i="5" s="1"/>
  <c r="E77" i="6" s="1"/>
  <c r="C63" i="6"/>
  <c r="Q63" i="5" a="1"/>
  <c r="Q63" i="5" s="1"/>
  <c r="D63" i="6" s="1"/>
  <c r="C80" i="6"/>
  <c r="Q80" i="5" a="1"/>
  <c r="Q80" i="5" s="1"/>
  <c r="D80" i="6" s="1"/>
  <c r="C76" i="6"/>
  <c r="Q76" i="5" a="1"/>
  <c r="Q76" i="5" s="1"/>
  <c r="D76" i="6" s="1"/>
  <c r="C37" i="6"/>
  <c r="Q37" i="5" a="1"/>
  <c r="Q37" i="5" s="1"/>
  <c r="V37" i="5" s="1" a="1"/>
  <c r="V37" i="5" s="1"/>
  <c r="E37" i="6" s="1"/>
  <c r="C30" i="6"/>
  <c r="Q30" i="5" a="1"/>
  <c r="Q30" i="5" s="1"/>
  <c r="D30" i="6" s="1"/>
  <c r="C56" i="6"/>
  <c r="Q56" i="5" a="1"/>
  <c r="Q56" i="5" s="1"/>
  <c r="D56" i="6" s="1"/>
  <c r="Q29" i="5" a="1"/>
  <c r="Q29" i="5" s="1"/>
  <c r="D29" i="6" s="1"/>
  <c r="Q38" i="5" a="1"/>
  <c r="Q38" i="5" s="1"/>
  <c r="Q45" i="5" a="1"/>
  <c r="Q45" i="5" s="1"/>
  <c r="D45" i="6" s="1"/>
  <c r="Q92" i="5" a="1"/>
  <c r="Q92" i="5" s="1"/>
  <c r="V92" i="5" s="1" a="1"/>
  <c r="V92" i="5" s="1"/>
  <c r="E92" i="6" s="1"/>
  <c r="Q82" i="5" a="1"/>
  <c r="Q82" i="5" s="1"/>
  <c r="D82" i="6" s="1"/>
  <c r="C4" i="6"/>
  <c r="C42" i="6"/>
  <c r="C62" i="6"/>
  <c r="Q62" i="5" a="1"/>
  <c r="Q62" i="5" s="1"/>
  <c r="C53" i="6"/>
  <c r="Q53" i="5" a="1"/>
  <c r="Q53" i="5" s="1"/>
  <c r="C81" i="6"/>
  <c r="Q81" i="5" a="1"/>
  <c r="Q81" i="5" s="1"/>
  <c r="C101" i="6"/>
  <c r="Q101" i="5" a="1"/>
  <c r="Q101" i="5" s="1"/>
  <c r="C70" i="6"/>
  <c r="Q70" i="5" a="1"/>
  <c r="Q70" i="5" s="1"/>
  <c r="C86" i="6"/>
  <c r="Q86" i="5" a="1"/>
  <c r="Q86" i="5" s="1"/>
  <c r="C52" i="6"/>
  <c r="Q52" i="5" a="1"/>
  <c r="Q52" i="5" s="1"/>
  <c r="C100" i="6"/>
  <c r="Q100" i="5" a="1"/>
  <c r="Q100" i="5" s="1"/>
  <c r="C75" i="6"/>
  <c r="Q75" i="5" a="1"/>
  <c r="Q75" i="5" s="1"/>
  <c r="C8" i="6"/>
  <c r="Q8" i="5" a="1"/>
  <c r="Q8" i="5" s="1"/>
  <c r="C25" i="6"/>
  <c r="Q25" i="5" a="1"/>
  <c r="Q25" i="5" s="1"/>
  <c r="C46" i="6"/>
  <c r="Q46" i="5" a="1"/>
  <c r="Q46" i="5" s="1"/>
  <c r="C85" i="6"/>
  <c r="Q85" i="5" a="1"/>
  <c r="Q85" i="5" s="1"/>
  <c r="C90" i="6"/>
  <c r="Q90" i="5" a="1"/>
  <c r="Q90" i="5" s="1"/>
  <c r="C7" i="6"/>
  <c r="Q7" i="5" a="1"/>
  <c r="Q7" i="5" s="1"/>
  <c r="C43" i="6"/>
  <c r="C79" i="6"/>
  <c r="Q79" i="5" a="1"/>
  <c r="Q79" i="5" s="1"/>
  <c r="C95" i="6"/>
  <c r="Q95" i="5" a="1"/>
  <c r="Q95" i="5" s="1"/>
  <c r="C84" i="6"/>
  <c r="Q84" i="5" a="1"/>
  <c r="Q84" i="5" s="1"/>
  <c r="C65" i="6"/>
  <c r="Q65" i="5" a="1"/>
  <c r="Q65" i="5" s="1"/>
  <c r="C71" i="6"/>
  <c r="Q71" i="5" a="1"/>
  <c r="Q71" i="5" s="1"/>
  <c r="C78" i="6"/>
  <c r="Q78" i="5" a="1"/>
  <c r="Q78" i="5" s="1"/>
  <c r="C94" i="6"/>
  <c r="Q94" i="5" a="1"/>
  <c r="Q94" i="5" s="1"/>
  <c r="C15" i="6"/>
  <c r="Q15" i="5" a="1"/>
  <c r="Q15" i="5" s="1"/>
  <c r="C36" i="6"/>
  <c r="Q36" i="5" a="1"/>
  <c r="Q36" i="5" s="1"/>
  <c r="C64" i="6"/>
  <c r="Q64" i="5" a="1"/>
  <c r="Q64" i="5" s="1"/>
  <c r="C18" i="6"/>
  <c r="Q18" i="5" a="1"/>
  <c r="Q18" i="5" s="1"/>
  <c r="C47" i="6"/>
  <c r="Q47" i="5" a="1"/>
  <c r="Q47" i="5" s="1"/>
  <c r="C83" i="6"/>
  <c r="Q83" i="5" a="1"/>
  <c r="Q83" i="5" s="1"/>
  <c r="C99" i="6"/>
  <c r="Q99" i="5" a="1"/>
  <c r="Q99" i="5" s="1"/>
  <c r="C3" i="6"/>
  <c r="Q3" i="5" a="1"/>
  <c r="Q3" i="5" s="1"/>
  <c r="C68" i="6"/>
  <c r="Q68" i="5" a="1"/>
  <c r="Q68" i="5" s="1"/>
  <c r="C20" i="6"/>
  <c r="Q20" i="5" a="1"/>
  <c r="Q20" i="5" s="1"/>
  <c r="C49" i="6"/>
  <c r="Q49" i="5" a="1"/>
  <c r="Q49" i="5" s="1"/>
  <c r="C74" i="6"/>
  <c r="Q74" i="5" a="1"/>
  <c r="Q74" i="5" s="1"/>
  <c r="C14" i="6"/>
  <c r="Q14" i="5" a="1"/>
  <c r="Q14" i="5" s="1"/>
  <c r="C54" i="6"/>
  <c r="Q54" i="5" a="1"/>
  <c r="Q54" i="5" s="1"/>
  <c r="C16" i="6"/>
  <c r="Q16" i="5" a="1"/>
  <c r="Q16" i="5" s="1"/>
  <c r="C9" i="6"/>
  <c r="Q9" i="5" a="1"/>
  <c r="Q9" i="5" s="1"/>
  <c r="C26" i="6"/>
  <c r="Q26" i="5" a="1"/>
  <c r="Q26" i="5" s="1"/>
  <c r="C58" i="6"/>
  <c r="Q58" i="5" a="1"/>
  <c r="Q58" i="5" s="1"/>
  <c r="C61" i="6"/>
  <c r="Q61" i="5" a="1"/>
  <c r="Q61" i="5" s="1"/>
  <c r="C97" i="6"/>
  <c r="Q97" i="5" a="1"/>
  <c r="Q97" i="5" s="1"/>
  <c r="C44" i="6"/>
  <c r="Q44" i="5" a="1"/>
  <c r="Q44" i="5" s="1"/>
  <c r="C96" i="6"/>
  <c r="Q96" i="5" a="1"/>
  <c r="Q96" i="5" s="1"/>
  <c r="C39" i="6"/>
  <c r="C55" i="6"/>
  <c r="Q55" i="5" a="1"/>
  <c r="Q55" i="5" s="1"/>
  <c r="C67" i="6"/>
  <c r="Q67" i="5" a="1"/>
  <c r="Q67" i="5" s="1"/>
  <c r="D67" i="6" s="1"/>
  <c r="C11" i="6"/>
  <c r="Q11" i="5" a="1"/>
  <c r="Q11" i="5" s="1"/>
  <c r="Q87" i="5" a="1"/>
  <c r="Q87" i="5" s="1"/>
  <c r="D5" i="6"/>
  <c r="Q17" i="5" a="1"/>
  <c r="Q17" i="5" s="1"/>
  <c r="V28" i="5" a="1"/>
  <c r="V28" i="5" s="1"/>
  <c r="E28" i="6" s="1"/>
  <c r="D28" i="6"/>
  <c r="V40" i="5" a="1"/>
  <c r="V40" i="5" s="1"/>
  <c r="E40" i="6" s="1"/>
  <c r="D40" i="6"/>
  <c r="V76" i="5" a="1"/>
  <c r="V76" i="5" s="1"/>
  <c r="E76" i="6" s="1"/>
  <c r="Q34" i="5" a="1"/>
  <c r="Q34" i="5" s="1"/>
  <c r="Q12" i="5" a="1"/>
  <c r="Q12" i="5" s="1"/>
  <c r="Q33" i="5" a="1"/>
  <c r="Q33" i="5" s="1"/>
  <c r="Q41" i="5" a="1"/>
  <c r="Q41" i="5" s="1"/>
  <c r="Q73" i="5" a="1"/>
  <c r="Q73" i="5" s="1"/>
  <c r="Q89" i="5" a="1"/>
  <c r="Q89" i="5" s="1"/>
  <c r="Q32" i="5" a="1"/>
  <c r="Q32" i="5" s="1"/>
  <c r="Q60" i="5" a="1"/>
  <c r="Q60" i="5" s="1"/>
  <c r="Q72" i="5" a="1"/>
  <c r="Q72" i="5" s="1"/>
  <c r="Q88" i="5" a="1"/>
  <c r="Q88" i="5" s="1"/>
  <c r="Q10" i="5" a="1"/>
  <c r="Q10" i="5" s="1"/>
  <c r="Q27" i="5" a="1"/>
  <c r="Q27" i="5" s="1"/>
  <c r="V2" i="5" a="1"/>
  <c r="V2" i="5" s="1"/>
  <c r="E2" i="6" s="1"/>
  <c r="V69" i="5" a="1"/>
  <c r="V69" i="5" s="1"/>
  <c r="E69" i="6" s="1"/>
  <c r="D69" i="6"/>
  <c r="V51" i="5" a="1"/>
  <c r="V51" i="5" s="1"/>
  <c r="E51" i="6" s="1"/>
  <c r="D51" i="6"/>
  <c r="Q22" i="5" a="1"/>
  <c r="Q22" i="5" s="1"/>
  <c r="Q66" i="5" a="1"/>
  <c r="Q66" i="5" s="1"/>
  <c r="Q59" i="5" a="1"/>
  <c r="Q59" i="5" s="1"/>
  <c r="Q21" i="5" a="1"/>
  <c r="Q21" i="5" s="1"/>
  <c r="Q57" i="5" a="1"/>
  <c r="Q57" i="5" s="1"/>
  <c r="Q93" i="5" a="1"/>
  <c r="Q93" i="5" s="1"/>
  <c r="E98" i="6"/>
  <c r="Q35" i="5" a="1"/>
  <c r="Q35" i="5" s="1"/>
  <c r="Q91" i="5" a="1"/>
  <c r="Q91" i="5" s="1"/>
  <c r="Q48" i="5" a="1"/>
  <c r="Q48" i="5" s="1"/>
  <c r="D13" i="6" l="1"/>
  <c r="V29" i="5" a="1"/>
  <c r="V29" i="5" s="1"/>
  <c r="V98" i="5" a="1"/>
  <c r="V98" i="5" s="1"/>
  <c r="C31" i="6"/>
  <c r="D3" i="8"/>
  <c r="B11" i="8"/>
  <c r="B12" i="8"/>
  <c r="B10" i="8"/>
  <c r="B9" i="8"/>
  <c r="J9" i="8"/>
  <c r="J11" i="8"/>
  <c r="J10" i="8"/>
  <c r="V80" i="5" a="1"/>
  <c r="V80" i="5" s="1"/>
  <c r="E80" i="6" s="1"/>
  <c r="H3" i="8"/>
  <c r="D92" i="6"/>
  <c r="V50" i="5" a="1"/>
  <c r="V50" i="5" s="1"/>
  <c r="E50" i="6" s="1"/>
  <c r="V6" i="5" a="1"/>
  <c r="V6" i="5" s="1"/>
  <c r="E6" i="6" s="1"/>
  <c r="D23" i="6"/>
  <c r="V45" i="5" a="1"/>
  <c r="V45" i="5" s="1"/>
  <c r="E45" i="6" s="1"/>
  <c r="D77" i="6"/>
  <c r="V56" i="5" a="1"/>
  <c r="V56" i="5" s="1"/>
  <c r="E56" i="6" s="1"/>
  <c r="D37" i="6"/>
  <c r="D31" i="6"/>
  <c r="V31" i="5" a="1"/>
  <c r="V31" i="5" s="1"/>
  <c r="E31" i="6" s="1"/>
  <c r="V30" i="5" a="1"/>
  <c r="V30" i="5" s="1"/>
  <c r="E30" i="6" s="1"/>
  <c r="D24" i="6"/>
  <c r="D38" i="6"/>
  <c r="V38" i="5" a="1"/>
  <c r="V38" i="5" s="1"/>
  <c r="E38" i="6" s="1"/>
  <c r="V82" i="5" a="1"/>
  <c r="V82" i="5" s="1"/>
  <c r="E82" i="6" s="1"/>
  <c r="V63" i="5" a="1"/>
  <c r="V63" i="5" s="1"/>
  <c r="E63" i="6" s="1"/>
  <c r="V88" i="5" a="1"/>
  <c r="V88" i="5" s="1"/>
  <c r="E88" i="6" s="1"/>
  <c r="D88" i="6"/>
  <c r="V67" i="5" a="1"/>
  <c r="V67" i="5" s="1"/>
  <c r="E67" i="6" s="1"/>
  <c r="V44" i="5" a="1"/>
  <c r="V44" i="5" s="1"/>
  <c r="E44" i="6" s="1"/>
  <c r="D44" i="6"/>
  <c r="V61" i="5" a="1"/>
  <c r="V61" i="5" s="1"/>
  <c r="E61" i="6" s="1"/>
  <c r="D61" i="6"/>
  <c r="V16" i="5" a="1"/>
  <c r="V16" i="5" s="1"/>
  <c r="E16" i="6" s="1"/>
  <c r="D16" i="6"/>
  <c r="V49" i="5" a="1"/>
  <c r="V49" i="5" s="1"/>
  <c r="E49" i="6" s="1"/>
  <c r="D49" i="6"/>
  <c r="V68" i="5" a="1"/>
  <c r="V68" i="5" s="1"/>
  <c r="E68" i="6" s="1"/>
  <c r="D68" i="6"/>
  <c r="V47" i="5" a="1"/>
  <c r="V47" i="5" s="1"/>
  <c r="E47" i="6" s="1"/>
  <c r="D47" i="6"/>
  <c r="V15" i="5" a="1"/>
  <c r="V15" i="5" s="1"/>
  <c r="E15" i="6" s="1"/>
  <c r="D15" i="6"/>
  <c r="D78" i="6"/>
  <c r="V78" i="5" a="1"/>
  <c r="V78" i="5" s="1"/>
  <c r="E78" i="6" s="1"/>
  <c r="D95" i="6"/>
  <c r="V95" i="5" a="1"/>
  <c r="V95" i="5" s="1"/>
  <c r="E95" i="6" s="1"/>
  <c r="D90" i="6"/>
  <c r="V90" i="5" a="1"/>
  <c r="V90" i="5" s="1"/>
  <c r="E90" i="6" s="1"/>
  <c r="D46" i="6"/>
  <c r="V46" i="5" a="1"/>
  <c r="V46" i="5" s="1"/>
  <c r="E46" i="6" s="1"/>
  <c r="V100" i="5" a="1"/>
  <c r="V100" i="5" s="1"/>
  <c r="E100" i="6" s="1"/>
  <c r="D100" i="6"/>
  <c r="V101" i="5" a="1"/>
  <c r="V101" i="5" s="1"/>
  <c r="E101" i="6" s="1"/>
  <c r="D101" i="6"/>
  <c r="V53" i="5" a="1"/>
  <c r="V53" i="5" s="1"/>
  <c r="E53" i="6" s="1"/>
  <c r="D53" i="6"/>
  <c r="V72" i="5" a="1"/>
  <c r="V72" i="5" s="1"/>
  <c r="E72" i="6" s="1"/>
  <c r="D72" i="6"/>
  <c r="V73" i="5" a="1"/>
  <c r="V73" i="5" s="1"/>
  <c r="E73" i="6" s="1"/>
  <c r="D73" i="6"/>
  <c r="D34" i="6"/>
  <c r="V34" i="5" a="1"/>
  <c r="V34" i="5" s="1"/>
  <c r="E34" i="6" s="1"/>
  <c r="V48" i="5" a="1"/>
  <c r="V48" i="5" s="1"/>
  <c r="E48" i="6" s="1"/>
  <c r="D48" i="6"/>
  <c r="D66" i="6"/>
  <c r="V66" i="5" a="1"/>
  <c r="V66" i="5" s="1"/>
  <c r="E66" i="6" s="1"/>
  <c r="D22" i="6"/>
  <c r="V22" i="5" a="1"/>
  <c r="V22" i="5" s="1"/>
  <c r="E22" i="6" s="1"/>
  <c r="V27" i="5" a="1"/>
  <c r="V27" i="5" s="1"/>
  <c r="E27" i="6" s="1"/>
  <c r="D27" i="6"/>
  <c r="V60" i="5" a="1"/>
  <c r="V60" i="5" s="1"/>
  <c r="E60" i="6" s="1"/>
  <c r="D60" i="6"/>
  <c r="V41" i="5" a="1"/>
  <c r="V41" i="5" s="1"/>
  <c r="E41" i="6" s="1"/>
  <c r="D41" i="6"/>
  <c r="V17" i="5" a="1"/>
  <c r="V17" i="5" s="1"/>
  <c r="E17" i="6" s="1"/>
  <c r="D17" i="6"/>
  <c r="V11" i="5" a="1"/>
  <c r="V11" i="5" s="1"/>
  <c r="E11" i="6" s="1"/>
  <c r="D11" i="6"/>
  <c r="V55" i="5" a="1"/>
  <c r="V55" i="5" s="1"/>
  <c r="E55" i="6" s="1"/>
  <c r="D55" i="6"/>
  <c r="V96" i="5" a="1"/>
  <c r="V96" i="5" s="1"/>
  <c r="E96" i="6" s="1"/>
  <c r="D96" i="6"/>
  <c r="V97" i="5" a="1"/>
  <c r="V97" i="5" s="1"/>
  <c r="E97" i="6" s="1"/>
  <c r="D97" i="6"/>
  <c r="D58" i="6"/>
  <c r="V58" i="5" a="1"/>
  <c r="V58" i="5" s="1"/>
  <c r="E58" i="6" s="1"/>
  <c r="V9" i="5" a="1"/>
  <c r="V9" i="5" s="1"/>
  <c r="E9" i="6" s="1"/>
  <c r="D9" i="6"/>
  <c r="D54" i="6"/>
  <c r="V54" i="5" a="1"/>
  <c r="V54" i="5" s="1"/>
  <c r="E54" i="6" s="1"/>
  <c r="D74" i="6"/>
  <c r="V74" i="5" a="1"/>
  <c r="V74" i="5" s="1"/>
  <c r="E74" i="6" s="1"/>
  <c r="V20" i="5" a="1"/>
  <c r="V20" i="5" s="1"/>
  <c r="E20" i="6" s="1"/>
  <c r="D20" i="6"/>
  <c r="V3" i="5" a="1"/>
  <c r="V3" i="5" s="1"/>
  <c r="E3" i="6" s="1"/>
  <c r="D3" i="6"/>
  <c r="D83" i="6"/>
  <c r="V83" i="5" a="1"/>
  <c r="V83" i="5" s="1"/>
  <c r="E83" i="6" s="1"/>
  <c r="D18" i="6"/>
  <c r="V18" i="5" a="1"/>
  <c r="V18" i="5" s="1"/>
  <c r="E18" i="6" s="1"/>
  <c r="V36" i="5" a="1"/>
  <c r="V36" i="5" s="1"/>
  <c r="E36" i="6" s="1"/>
  <c r="D36" i="6"/>
  <c r="D94" i="6"/>
  <c r="V94" i="5" a="1"/>
  <c r="V94" i="5" s="1"/>
  <c r="E94" i="6" s="1"/>
  <c r="D71" i="6"/>
  <c r="V71" i="5" a="1"/>
  <c r="V71" i="5" s="1"/>
  <c r="E71" i="6" s="1"/>
  <c r="V84" i="5" a="1"/>
  <c r="V84" i="5" s="1"/>
  <c r="E84" i="6" s="1"/>
  <c r="D84" i="6"/>
  <c r="D79" i="6"/>
  <c r="V79" i="5" a="1"/>
  <c r="V79" i="5" s="1"/>
  <c r="E79" i="6" s="1"/>
  <c r="V7" i="5" a="1"/>
  <c r="V7" i="5" s="1"/>
  <c r="E7" i="6" s="1"/>
  <c r="D7" i="6"/>
  <c r="V85" i="5" a="1"/>
  <c r="V85" i="5" s="1"/>
  <c r="E85" i="6" s="1"/>
  <c r="D85" i="6"/>
  <c r="V25" i="5" a="1"/>
  <c r="V25" i="5" s="1"/>
  <c r="E25" i="6" s="1"/>
  <c r="D25" i="6"/>
  <c r="D75" i="6"/>
  <c r="V75" i="5" a="1"/>
  <c r="V75" i="5" s="1"/>
  <c r="E75" i="6" s="1"/>
  <c r="V52" i="5" a="1"/>
  <c r="V52" i="5" s="1"/>
  <c r="E52" i="6" s="1"/>
  <c r="D52" i="6"/>
  <c r="D70" i="6"/>
  <c r="V70" i="5" a="1"/>
  <c r="V70" i="5" s="1"/>
  <c r="E70" i="6" s="1"/>
  <c r="V81" i="5" a="1"/>
  <c r="V81" i="5" s="1"/>
  <c r="E81" i="6" s="1"/>
  <c r="D81" i="6"/>
  <c r="D62" i="6"/>
  <c r="V62" i="5" a="1"/>
  <c r="V62" i="5" s="1"/>
  <c r="E62" i="6" s="1"/>
  <c r="V4" i="5" a="1"/>
  <c r="V4" i="5" s="1"/>
  <c r="E4" i="6" s="1"/>
  <c r="D4" i="6"/>
  <c r="V93" i="5" a="1"/>
  <c r="V93" i="5" s="1"/>
  <c r="E93" i="6" s="1"/>
  <c r="D93" i="6"/>
  <c r="V89" i="5" a="1"/>
  <c r="V89" i="5" s="1"/>
  <c r="E89" i="6" s="1"/>
  <c r="D89" i="6"/>
  <c r="V12" i="5" a="1"/>
  <c r="V12" i="5" s="1"/>
  <c r="E12" i="6" s="1"/>
  <c r="D12" i="6"/>
  <c r="V39" i="5" a="1"/>
  <c r="V39" i="5" s="1"/>
  <c r="E39" i="6" s="1"/>
  <c r="D39" i="6"/>
  <c r="D26" i="6"/>
  <c r="V26" i="5" a="1"/>
  <c r="V26" i="5" s="1"/>
  <c r="E26" i="6" s="1"/>
  <c r="D14" i="6"/>
  <c r="V14" i="5" a="1"/>
  <c r="V14" i="5" s="1"/>
  <c r="E14" i="6" s="1"/>
  <c r="D99" i="6"/>
  <c r="V99" i="5" a="1"/>
  <c r="V99" i="5" s="1"/>
  <c r="E99" i="6" s="1"/>
  <c r="V64" i="5" a="1"/>
  <c r="V64" i="5" s="1"/>
  <c r="E64" i="6" s="1"/>
  <c r="D64" i="6"/>
  <c r="V65" i="5" a="1"/>
  <c r="V65" i="5" s="1"/>
  <c r="E65" i="6" s="1"/>
  <c r="D65" i="6"/>
  <c r="V43" i="5" a="1"/>
  <c r="V43" i="5" s="1"/>
  <c r="E43" i="6" s="1"/>
  <c r="D43" i="6"/>
  <c r="V8" i="5" a="1"/>
  <c r="V8" i="5" s="1"/>
  <c r="E8" i="6" s="1"/>
  <c r="D8" i="6"/>
  <c r="D86" i="6"/>
  <c r="V86" i="5" a="1"/>
  <c r="V86" i="5" s="1"/>
  <c r="E86" i="6" s="1"/>
  <c r="D42" i="6"/>
  <c r="V42" i="5" a="1"/>
  <c r="V42" i="5" s="1"/>
  <c r="E42" i="6" s="1"/>
  <c r="V35" i="5" a="1"/>
  <c r="V35" i="5" s="1"/>
  <c r="E35" i="6" s="1"/>
  <c r="D35" i="6"/>
  <c r="V57" i="5" a="1"/>
  <c r="V57" i="5" s="1"/>
  <c r="E57" i="6" s="1"/>
  <c r="D57" i="6"/>
  <c r="D59" i="6"/>
  <c r="V59" i="5" a="1"/>
  <c r="V59" i="5" s="1"/>
  <c r="E59" i="6" s="1"/>
  <c r="D19" i="6"/>
  <c r="V19" i="5" a="1"/>
  <c r="V19" i="5" s="1"/>
  <c r="E19" i="6" s="1"/>
  <c r="D87" i="6"/>
  <c r="V87" i="5" a="1"/>
  <c r="V87" i="5" s="1"/>
  <c r="E87" i="6" s="1"/>
  <c r="D91" i="6"/>
  <c r="V91" i="5" a="1"/>
  <c r="V91" i="5" s="1"/>
  <c r="E91" i="6" s="1"/>
  <c r="V21" i="5" a="1"/>
  <c r="V21" i="5" s="1"/>
  <c r="E21" i="6" s="1"/>
  <c r="D21" i="6"/>
  <c r="D10" i="6"/>
  <c r="V10" i="5" a="1"/>
  <c r="V10" i="5" s="1"/>
  <c r="E10" i="6" s="1"/>
  <c r="V32" i="5" a="1"/>
  <c r="V32" i="5" s="1"/>
  <c r="E32" i="6" s="1"/>
  <c r="D32" i="6"/>
  <c r="V33" i="5" a="1"/>
  <c r="V33" i="5" s="1"/>
  <c r="E33" i="6" s="1"/>
  <c r="D33" i="6"/>
  <c r="G23" i="7"/>
  <c r="L23" i="7" s="1"/>
  <c r="G60" i="7"/>
  <c r="L60" i="7" s="1"/>
  <c r="G25" i="7"/>
  <c r="L25" i="7" s="1"/>
  <c r="G20" i="7"/>
  <c r="L20" i="7" s="1"/>
  <c r="G52" i="7"/>
  <c r="L52" i="7" s="1"/>
  <c r="G17" i="7"/>
  <c r="L17" i="7" s="1"/>
  <c r="G28" i="7"/>
  <c r="L28" i="7" s="1"/>
  <c r="G7" i="7"/>
  <c r="L7" i="7" s="1"/>
  <c r="G19" i="7"/>
  <c r="L19" i="7" s="1"/>
  <c r="G47" i="7"/>
  <c r="L47" i="7" s="1"/>
  <c r="G59" i="7"/>
  <c r="L59" i="7" s="1"/>
  <c r="G79" i="7"/>
  <c r="L79" i="7" s="1"/>
  <c r="G89" i="7"/>
  <c r="L89" i="7" s="1"/>
  <c r="G81" i="7"/>
  <c r="L81" i="7" s="1"/>
  <c r="G65" i="7"/>
  <c r="L65" i="7" s="1"/>
  <c r="G12" i="7"/>
  <c r="L12" i="7" s="1"/>
  <c r="G32" i="7"/>
  <c r="L32" i="7" s="1"/>
  <c r="G44" i="7"/>
  <c r="L44" i="7" s="1"/>
  <c r="G64" i="7"/>
  <c r="L64" i="7" s="1"/>
  <c r="G3" i="7"/>
  <c r="L3" i="7" s="1"/>
  <c r="G11" i="7"/>
  <c r="L11" i="7" s="1"/>
  <c r="G27" i="7"/>
  <c r="L27" i="7" s="1"/>
  <c r="G51" i="7"/>
  <c r="L51" i="7" s="1"/>
  <c r="G5" i="7"/>
  <c r="L5" i="7" s="1"/>
  <c r="G73" i="7"/>
  <c r="L73" i="7" s="1"/>
  <c r="G22" i="7"/>
  <c r="L22" i="7" s="1"/>
  <c r="G88" i="7"/>
  <c r="L88" i="7" s="1"/>
  <c r="G100" i="7"/>
  <c r="L100" i="7" s="1"/>
  <c r="G90" i="7"/>
  <c r="L90" i="7" s="1"/>
  <c r="G85" i="7"/>
  <c r="L85" i="7" s="1"/>
  <c r="G26" i="7"/>
  <c r="L26" i="7" s="1"/>
  <c r="G70" i="7"/>
  <c r="L70" i="7" s="1"/>
  <c r="G10" i="7"/>
  <c r="L10" i="7" s="1"/>
  <c r="G75" i="7"/>
  <c r="L75" i="7" s="1"/>
  <c r="G69" i="7"/>
  <c r="L69" i="7" s="1"/>
  <c r="G4" i="7"/>
  <c r="L4" i="7" s="1"/>
  <c r="G84" i="7"/>
  <c r="L84" i="7" s="1"/>
  <c r="G53" i="7"/>
  <c r="L53" i="7" s="1"/>
  <c r="G86" i="7"/>
  <c r="L86" i="7" s="1"/>
  <c r="H60" i="7"/>
  <c r="J60" i="7" s="1"/>
  <c r="H89" i="7"/>
  <c r="J89" i="7" s="1"/>
  <c r="H20" i="7"/>
  <c r="J20" i="7" s="1"/>
  <c r="H57" i="7"/>
  <c r="J57" i="7" s="1"/>
  <c r="G92" i="7"/>
  <c r="L92" i="7" s="1"/>
  <c r="G41" i="7"/>
  <c r="L41" i="7" s="1"/>
  <c r="G13" i="7"/>
  <c r="L13" i="7" s="1"/>
  <c r="G82" i="7"/>
  <c r="L82" i="7" s="1"/>
  <c r="G15" i="7"/>
  <c r="L15" i="7" s="1"/>
  <c r="G31" i="7"/>
  <c r="L31" i="7" s="1"/>
  <c r="G35" i="7"/>
  <c r="L35" i="7" s="1"/>
  <c r="G39" i="7"/>
  <c r="L39" i="7" s="1"/>
  <c r="G43" i="7"/>
  <c r="L43" i="7" s="1"/>
  <c r="G55" i="7"/>
  <c r="L55" i="7" s="1"/>
  <c r="G63" i="7"/>
  <c r="L63" i="7" s="1"/>
  <c r="G67" i="7"/>
  <c r="L67" i="7" s="1"/>
  <c r="G71" i="7"/>
  <c r="L71" i="7" s="1"/>
  <c r="G83" i="7"/>
  <c r="L83" i="7" s="1"/>
  <c r="G87" i="7"/>
  <c r="L87" i="7" s="1"/>
  <c r="G91" i="7"/>
  <c r="L91" i="7" s="1"/>
  <c r="G95" i="7"/>
  <c r="L95" i="7" s="1"/>
  <c r="G99" i="7"/>
  <c r="L99" i="7" s="1"/>
  <c r="G21" i="7"/>
  <c r="L21" i="7" s="1"/>
  <c r="G46" i="7"/>
  <c r="L46" i="7" s="1"/>
  <c r="G98" i="7"/>
  <c r="L98" i="7" s="1"/>
  <c r="G50" i="7"/>
  <c r="L50" i="7" s="1"/>
  <c r="G30" i="7"/>
  <c r="L30" i="7" s="1"/>
  <c r="G49" i="7"/>
  <c r="L49" i="7" s="1"/>
  <c r="G94" i="7"/>
  <c r="L94" i="7" s="1"/>
  <c r="G57" i="7"/>
  <c r="L57" i="7" s="1"/>
  <c r="G6" i="7"/>
  <c r="L6" i="7" s="1"/>
  <c r="G8" i="7"/>
  <c r="L8" i="7" s="1"/>
  <c r="G24" i="7"/>
  <c r="L24" i="7" s="1"/>
  <c r="G36" i="7"/>
  <c r="L36" i="7" s="1"/>
  <c r="G40" i="7"/>
  <c r="L40" i="7" s="1"/>
  <c r="G48" i="7"/>
  <c r="L48" i="7" s="1"/>
  <c r="G56" i="7"/>
  <c r="L56" i="7" s="1"/>
  <c r="G68" i="7"/>
  <c r="L68" i="7" s="1"/>
  <c r="G72" i="7"/>
  <c r="L72" i="7" s="1"/>
  <c r="G76" i="7"/>
  <c r="L76" i="7" s="1"/>
  <c r="G80" i="7"/>
  <c r="L80" i="7" s="1"/>
  <c r="G37" i="7"/>
  <c r="L37" i="7" s="1"/>
  <c r="G101" i="7"/>
  <c r="L101" i="7" s="1"/>
  <c r="G97" i="7"/>
  <c r="L97" i="7" s="1"/>
  <c r="G9" i="7"/>
  <c r="L9" i="7" s="1"/>
  <c r="G29" i="7"/>
  <c r="L29" i="7" s="1"/>
  <c r="G62" i="7"/>
  <c r="L62" i="7" s="1"/>
  <c r="B3" i="7"/>
  <c r="F3" i="7"/>
  <c r="H63" i="7"/>
  <c r="J63" i="7" s="1"/>
  <c r="H99" i="7"/>
  <c r="J99" i="7" s="1"/>
  <c r="G77" i="7"/>
  <c r="L77" i="7" s="1"/>
  <c r="G16" i="7"/>
  <c r="L16" i="7" s="1"/>
  <c r="G96" i="7"/>
  <c r="L96" i="7" s="1"/>
  <c r="G61" i="7"/>
  <c r="L61" i="7" s="1"/>
  <c r="G93" i="7"/>
  <c r="L93" i="7" s="1"/>
  <c r="H79" i="7"/>
  <c r="J79" i="7" s="1"/>
  <c r="H54" i="7"/>
  <c r="J54" i="7" s="1"/>
  <c r="H4" i="7"/>
  <c r="J4" i="7" s="1"/>
  <c r="H16" i="7"/>
  <c r="J16" i="7" s="1"/>
  <c r="H31" i="7"/>
  <c r="J31" i="7" s="1"/>
  <c r="H37" i="7"/>
  <c r="J37" i="7" s="1"/>
  <c r="H86" i="7"/>
  <c r="J86" i="7" s="1"/>
  <c r="F51" i="7"/>
  <c r="B51" i="7"/>
  <c r="B88" i="7"/>
  <c r="F88" i="7"/>
  <c r="F89" i="7"/>
  <c r="B89" i="7"/>
  <c r="B20" i="7"/>
  <c r="F20" i="7"/>
  <c r="H34" i="7"/>
  <c r="J34" i="7" s="1"/>
  <c r="G33" i="7"/>
  <c r="L33" i="7" s="1"/>
  <c r="G45" i="7"/>
  <c r="L45" i="7" s="1"/>
  <c r="G42" i="7"/>
  <c r="L42" i="7" s="1"/>
  <c r="G74" i="7"/>
  <c r="L74" i="7" s="1"/>
  <c r="G38" i="7"/>
  <c r="L38" i="7" s="1"/>
  <c r="G54" i="7"/>
  <c r="L54" i="7" s="1"/>
  <c r="G14" i="7"/>
  <c r="L14" i="7" s="1"/>
  <c r="G34" i="7"/>
  <c r="L34" i="7" s="1"/>
  <c r="G66" i="7"/>
  <c r="L66" i="7" s="1"/>
  <c r="H18" i="7"/>
  <c r="J18" i="7" s="1"/>
  <c r="H30" i="7"/>
  <c r="J30" i="7" s="1"/>
  <c r="F39" i="7"/>
  <c r="B39" i="7"/>
  <c r="H71" i="7"/>
  <c r="J71" i="7" s="1"/>
  <c r="H14" i="7"/>
  <c r="J14" i="7" s="1"/>
  <c r="H3" i="7"/>
  <c r="J3" i="7" s="1"/>
  <c r="H83" i="7"/>
  <c r="J83" i="7" s="1"/>
  <c r="H42" i="7"/>
  <c r="J42" i="7" s="1"/>
  <c r="G18" i="7"/>
  <c r="L18" i="7" s="1"/>
  <c r="G58" i="7"/>
  <c r="L58" i="7" s="1"/>
  <c r="G78" i="7"/>
  <c r="L78" i="7" s="1"/>
  <c r="H5" i="7"/>
  <c r="J5" i="7" s="1"/>
  <c r="H26" i="7"/>
  <c r="J26" i="7" s="1"/>
  <c r="H53" i="7"/>
  <c r="J53" i="7" s="1"/>
  <c r="H84" i="7"/>
  <c r="J84" i="7" s="1"/>
  <c r="H51" i="7"/>
  <c r="J51" i="7" s="1"/>
  <c r="H88" i="7"/>
  <c r="J88" i="7" s="1"/>
  <c r="H8" i="7"/>
  <c r="J8" i="7" s="1"/>
  <c r="H39" i="7"/>
  <c r="J39" i="7" s="1"/>
  <c r="H68" i="7"/>
  <c r="J68" i="7" s="1"/>
  <c r="B5" i="7"/>
  <c r="F5" i="7"/>
  <c r="B64" i="7"/>
  <c r="F64" i="7"/>
  <c r="H40" i="7"/>
  <c r="J40" i="7" s="1"/>
  <c r="F40" i="7"/>
  <c r="B40" i="7"/>
  <c r="H87" i="7"/>
  <c r="J87" i="7" s="1"/>
  <c r="B87" i="7"/>
  <c r="F87" i="7"/>
  <c r="H17" i="7"/>
  <c r="J17" i="7" s="1"/>
  <c r="H47" i="7"/>
  <c r="J47" i="7" s="1"/>
  <c r="F47" i="7"/>
  <c r="B47" i="7"/>
  <c r="F31" i="7"/>
  <c r="B31" i="7"/>
  <c r="H56" i="7"/>
  <c r="J56" i="7" s="1"/>
  <c r="F56" i="7"/>
  <c r="B56" i="7"/>
  <c r="H33" i="7"/>
  <c r="J33" i="7" s="1"/>
  <c r="F17" i="7"/>
  <c r="B17" i="7"/>
  <c r="H9" i="7"/>
  <c r="J9" i="7" s="1"/>
  <c r="F9" i="7"/>
  <c r="B9" i="7"/>
  <c r="F63" i="7"/>
  <c r="B63" i="7"/>
  <c r="H23" i="7"/>
  <c r="J23" i="7" s="1"/>
  <c r="B91" i="7"/>
  <c r="F91" i="7"/>
  <c r="B32" i="7"/>
  <c r="F32" i="7"/>
  <c r="H27" i="7"/>
  <c r="J27" i="7" s="1"/>
  <c r="H64" i="7"/>
  <c r="J64" i="7" s="1"/>
  <c r="B18" i="7"/>
  <c r="F18" i="7"/>
  <c r="F6" i="7"/>
  <c r="B6" i="7"/>
  <c r="F86" i="7"/>
  <c r="B86" i="7"/>
  <c r="F16" i="7"/>
  <c r="B16" i="7"/>
  <c r="B35" i="7"/>
  <c r="F35" i="7"/>
  <c r="B33" i="7"/>
  <c r="F33" i="7"/>
  <c r="H101" i="7"/>
  <c r="J101" i="7" s="1"/>
  <c r="H100" i="7"/>
  <c r="J100" i="7" s="1"/>
  <c r="B100" i="7"/>
  <c r="F100" i="7"/>
  <c r="H72" i="7"/>
  <c r="J72" i="7" s="1"/>
  <c r="H91" i="7"/>
  <c r="J91" i="7" s="1"/>
  <c r="B34" i="7"/>
  <c r="F34" i="7"/>
  <c r="H32" i="7"/>
  <c r="J32" i="7" s="1"/>
  <c r="H22" i="7"/>
  <c r="J22" i="7" s="1"/>
  <c r="F22" i="7"/>
  <c r="B22" i="7"/>
  <c r="H15" i="7"/>
  <c r="J15" i="7" s="1"/>
  <c r="F15" i="7"/>
  <c r="B15" i="7"/>
  <c r="H19" i="7"/>
  <c r="J19" i="7" s="1"/>
  <c r="F19" i="7"/>
  <c r="B19" i="7"/>
  <c r="F4" i="7"/>
  <c r="B4" i="7"/>
  <c r="H74" i="7"/>
  <c r="J74" i="7" s="1"/>
  <c r="B74" i="7"/>
  <c r="F74" i="7"/>
  <c r="B21" i="7"/>
  <c r="F21" i="7"/>
  <c r="H90" i="7"/>
  <c r="J90" i="7" s="1"/>
  <c r="F90" i="7"/>
  <c r="B90" i="7"/>
  <c r="H73" i="7"/>
  <c r="J73" i="7" s="1"/>
  <c r="B83" i="7"/>
  <c r="F83" i="7"/>
  <c r="F37" i="7"/>
  <c r="B37" i="7"/>
  <c r="B54" i="7"/>
  <c r="F54" i="7"/>
  <c r="H35" i="7"/>
  <c r="J35" i="7" s="1"/>
  <c r="H61" i="7"/>
  <c r="J61" i="7" s="1"/>
  <c r="H81" i="7"/>
  <c r="J81" i="7" s="1"/>
  <c r="F79" i="7"/>
  <c r="B79" i="7"/>
  <c r="H21" i="7"/>
  <c r="J21" i="7" s="1"/>
  <c r="H38" i="7"/>
  <c r="J38" i="7" s="1"/>
  <c r="F38" i="7"/>
  <c r="B38" i="7"/>
  <c r="H65" i="7"/>
  <c r="J65" i="7" s="1"/>
  <c r="F73" i="7"/>
  <c r="B73" i="7"/>
  <c r="H7" i="7"/>
  <c r="J7" i="7" s="1"/>
  <c r="B7" i="7"/>
  <c r="F7" i="7"/>
  <c r="H48" i="7"/>
  <c r="J48" i="7" s="1"/>
  <c r="F48" i="7"/>
  <c r="B48" i="7"/>
  <c r="F8" i="7"/>
  <c r="B8" i="7"/>
  <c r="H25" i="7"/>
  <c r="J25" i="7" s="1"/>
  <c r="F25" i="7"/>
  <c r="B25" i="7"/>
  <c r="H85" i="7"/>
  <c r="J85" i="7" s="1"/>
  <c r="H82" i="7"/>
  <c r="J82" i="7" s="1"/>
  <c r="F82" i="7"/>
  <c r="B82" i="7"/>
  <c r="H67" i="7"/>
  <c r="J67" i="7" s="1"/>
  <c r="B81" i="7"/>
  <c r="F81" i="7"/>
  <c r="H28" i="7"/>
  <c r="J28" i="7" s="1"/>
  <c r="H49" i="7"/>
  <c r="J49" i="7" s="1"/>
  <c r="F42" i="7"/>
  <c r="B42" i="7"/>
  <c r="B52" i="7"/>
  <c r="F52" i="7"/>
  <c r="H52" i="7"/>
  <c r="J52" i="7" s="1"/>
  <c r="H93" i="7"/>
  <c r="J93" i="7" s="1"/>
  <c r="F97" i="7"/>
  <c r="B97" i="7"/>
  <c r="H97" i="7"/>
  <c r="J97" i="7" s="1"/>
  <c r="H77" i="7"/>
  <c r="J77" i="7" s="1"/>
  <c r="B95" i="7"/>
  <c r="F95" i="7"/>
  <c r="B57" i="7"/>
  <c r="F57" i="7"/>
  <c r="B85" i="7"/>
  <c r="F85" i="7"/>
  <c r="B43" i="7"/>
  <c r="F43" i="7"/>
  <c r="H43" i="7"/>
  <c r="J43" i="7" s="1"/>
  <c r="B67" i="7"/>
  <c r="F67" i="7"/>
  <c r="H6" i="7"/>
  <c r="J6" i="7" s="1"/>
  <c r="F24" i="7"/>
  <c r="B24" i="7"/>
  <c r="H96" i="7"/>
  <c r="J96" i="7" s="1"/>
  <c r="B96" i="7"/>
  <c r="F96" i="7"/>
  <c r="B101" i="7"/>
  <c r="F101" i="7"/>
  <c r="F41" i="7"/>
  <c r="B41" i="7"/>
  <c r="H41" i="7"/>
  <c r="J41" i="7" s="1"/>
  <c r="B84" i="7"/>
  <c r="F84" i="7"/>
  <c r="B99" i="7"/>
  <c r="F99" i="7"/>
  <c r="F80" i="7"/>
  <c r="B80" i="7"/>
  <c r="H62" i="7"/>
  <c r="J62" i="7" s="1"/>
  <c r="F45" i="7"/>
  <c r="B45" i="7"/>
  <c r="H45" i="7"/>
  <c r="J45" i="7" s="1"/>
  <c r="B10" i="7"/>
  <c r="F10" i="7"/>
  <c r="H66" i="7"/>
  <c r="J66" i="7" s="1"/>
  <c r="F77" i="7"/>
  <c r="B77" i="7"/>
  <c r="B28" i="7"/>
  <c r="F28" i="7"/>
  <c r="B60" i="7"/>
  <c r="F60" i="7"/>
  <c r="H95" i="7"/>
  <c r="J95" i="7" s="1"/>
  <c r="B27" i="7"/>
  <c r="F27" i="7"/>
  <c r="H50" i="7"/>
  <c r="J50" i="7" s="1"/>
  <c r="B50" i="7"/>
  <c r="F50" i="7"/>
  <c r="H80" i="7"/>
  <c r="J80" i="7" s="1"/>
  <c r="B93" i="7"/>
  <c r="F93" i="7"/>
  <c r="H24" i="7"/>
  <c r="J24" i="7" s="1"/>
  <c r="H46" i="7"/>
  <c r="J46" i="7" s="1"/>
  <c r="F72" i="7"/>
  <c r="B72" i="7"/>
  <c r="B29" i="7"/>
  <c r="F29" i="7"/>
  <c r="H29" i="7"/>
  <c r="J29" i="7" s="1"/>
  <c r="B92" i="7"/>
  <c r="F92" i="7"/>
  <c r="F70" i="7"/>
  <c r="B70" i="7"/>
  <c r="H70" i="7"/>
  <c r="J70" i="7" s="1"/>
  <c r="B69" i="7"/>
  <c r="F69" i="7"/>
  <c r="H69" i="7"/>
  <c r="J69" i="7" s="1"/>
  <c r="B71" i="7"/>
  <c r="F71" i="7"/>
  <c r="F53" i="7"/>
  <c r="B53" i="7"/>
  <c r="H13" i="7"/>
  <c r="J13" i="7" s="1"/>
  <c r="B13" i="7"/>
  <c r="F13" i="7"/>
  <c r="H10" i="7"/>
  <c r="J10" i="7" s="1"/>
  <c r="H94" i="7"/>
  <c r="J94" i="7" s="1"/>
  <c r="B94" i="7"/>
  <c r="F94" i="7"/>
  <c r="H78" i="7"/>
  <c r="J78" i="7" s="1"/>
  <c r="F78" i="7"/>
  <c r="B78" i="7"/>
  <c r="H11" i="7"/>
  <c r="J11" i="7" s="1"/>
  <c r="F11" i="7"/>
  <c r="B11" i="7"/>
  <c r="F46" i="7"/>
  <c r="B46" i="7"/>
  <c r="H75" i="7"/>
  <c r="J75" i="7" s="1"/>
  <c r="F75" i="7"/>
  <c r="B75" i="7"/>
  <c r="F62" i="7"/>
  <c r="B62" i="7"/>
  <c r="B30" i="7"/>
  <c r="F30" i="7"/>
  <c r="B23" i="7"/>
  <c r="F23" i="7"/>
  <c r="B14" i="7"/>
  <c r="F14" i="7"/>
  <c r="F59" i="7"/>
  <c r="B59" i="7"/>
  <c r="H59" i="7"/>
  <c r="J59" i="7" s="1"/>
  <c r="H92" i="7"/>
  <c r="J92" i="7" s="1"/>
  <c r="F66" i="7"/>
  <c r="B66" i="7"/>
  <c r="F36" i="7"/>
  <c r="B36" i="7"/>
  <c r="H36" i="7"/>
  <c r="J36" i="7" s="1"/>
  <c r="F61" i="7"/>
  <c r="B61" i="7"/>
  <c r="F65" i="7"/>
  <c r="B65" i="7"/>
  <c r="F26" i="7"/>
  <c r="B26" i="7"/>
  <c r="F68" i="7"/>
  <c r="B68" i="7"/>
  <c r="F44" i="7"/>
  <c r="B44" i="7"/>
  <c r="H44" i="7"/>
  <c r="J44" i="7" s="1"/>
  <c r="H55" i="7"/>
  <c r="J55" i="7" s="1"/>
  <c r="B55" i="7"/>
  <c r="F55" i="7"/>
  <c r="H58" i="7"/>
  <c r="J58" i="7" s="1"/>
  <c r="F58" i="7"/>
  <c r="B58" i="7"/>
  <c r="F76" i="7"/>
  <c r="B76" i="7"/>
  <c r="H76" i="7"/>
  <c r="J76" i="7" s="1"/>
  <c r="B49" i="7"/>
  <c r="F49" i="7"/>
  <c r="F12" i="7"/>
  <c r="B12" i="7"/>
  <c r="H12" i="7"/>
  <c r="J12" i="7" s="1"/>
  <c r="F98" i="7"/>
  <c r="B98" i="7"/>
  <c r="H98" i="7"/>
  <c r="J98" i="7" s="1"/>
  <c r="H2" i="7"/>
  <c r="J2" i="7" s="1"/>
  <c r="I33" i="7"/>
  <c r="K33" i="7" s="1"/>
  <c r="I54" i="7"/>
  <c r="K54" i="7" s="1"/>
  <c r="I13" i="7"/>
  <c r="K13" i="7" s="1"/>
  <c r="I21" i="7"/>
  <c r="K21" i="7" s="1"/>
  <c r="I10" i="7"/>
  <c r="K10" i="7" s="1"/>
  <c r="I77" i="7"/>
  <c r="K77" i="7" s="1"/>
  <c r="I31" i="7"/>
  <c r="K31" i="7" s="1"/>
  <c r="I40" i="7"/>
  <c r="K40" i="7" s="1"/>
  <c r="I47" i="7"/>
  <c r="K47" i="7" s="1"/>
  <c r="I27" i="7"/>
  <c r="K27" i="7" s="1"/>
  <c r="I41" i="7"/>
  <c r="K41" i="7" s="1"/>
  <c r="I101" i="7"/>
  <c r="K101" i="7" s="1"/>
  <c r="I88" i="7"/>
  <c r="K88" i="7" s="1"/>
  <c r="I3" i="7"/>
  <c r="K3" i="7" s="1"/>
  <c r="I49" i="7"/>
  <c r="K49" i="7" s="1"/>
  <c r="I63" i="7"/>
  <c r="K63" i="7" s="1"/>
  <c r="I29" i="7"/>
  <c r="K29" i="7" s="1"/>
  <c r="I43" i="7"/>
  <c r="K43" i="7" s="1"/>
  <c r="I20" i="7"/>
  <c r="K20" i="7" s="1"/>
  <c r="I17" i="7"/>
  <c r="K17" i="7" s="1"/>
  <c r="I22" i="7"/>
  <c r="K22" i="7" s="1"/>
  <c r="I87" i="7"/>
  <c r="K87" i="7" s="1"/>
  <c r="I4" i="7"/>
  <c r="K4" i="7" s="1"/>
  <c r="I72" i="7"/>
  <c r="K72" i="7" s="1"/>
  <c r="I19" i="7"/>
  <c r="K19" i="7" s="1"/>
  <c r="I90" i="7"/>
  <c r="K90" i="7" s="1"/>
  <c r="I65" i="7"/>
  <c r="K65" i="7" s="1"/>
  <c r="I86" i="7"/>
  <c r="K86" i="7" s="1"/>
  <c r="I57" i="7"/>
  <c r="K57" i="7" s="1"/>
  <c r="I60" i="7"/>
  <c r="K60" i="7" s="1"/>
  <c r="I44" i="7"/>
  <c r="K44" i="7" s="1"/>
  <c r="I42" i="7"/>
  <c r="K42" i="7" s="1"/>
  <c r="I16" i="7"/>
  <c r="K16" i="7" s="1"/>
  <c r="I58" i="7"/>
  <c r="K58" i="7" s="1"/>
  <c r="I100" i="7"/>
  <c r="K100" i="7" s="1"/>
  <c r="I26" i="7"/>
  <c r="K26" i="7" s="1"/>
  <c r="I52" i="7"/>
  <c r="K52" i="7" s="1"/>
  <c r="I37" i="7"/>
  <c r="K37" i="7" s="1"/>
  <c r="I15" i="7"/>
  <c r="K15" i="7" s="1"/>
  <c r="I28" i="7"/>
  <c r="K28" i="7" s="1"/>
  <c r="I67" i="7"/>
  <c r="K67" i="7" s="1"/>
  <c r="I98" i="7"/>
  <c r="K98" i="7" s="1"/>
  <c r="I50" i="7"/>
  <c r="K50" i="7" s="1"/>
  <c r="I9" i="7"/>
  <c r="K9" i="7" s="1"/>
  <c r="I85" i="7"/>
  <c r="K85" i="7" s="1"/>
  <c r="I64" i="7"/>
  <c r="K64" i="7" s="1"/>
  <c r="I79" i="7"/>
  <c r="K79" i="7" s="1"/>
  <c r="I18" i="7"/>
  <c r="K18" i="7" s="1"/>
  <c r="I83" i="7"/>
  <c r="K83" i="7" s="1"/>
  <c r="I25" i="7"/>
  <c r="K25" i="7" s="1"/>
  <c r="I68" i="7"/>
  <c r="K68" i="7" s="1"/>
  <c r="I34" i="7"/>
  <c r="K34" i="7" s="1"/>
  <c r="I75" i="7"/>
  <c r="K75" i="7" s="1"/>
  <c r="I81" i="7"/>
  <c r="K81" i="7" s="1"/>
  <c r="I14" i="7"/>
  <c r="K14" i="7" s="1"/>
  <c r="I30" i="7"/>
  <c r="K30" i="7" s="1"/>
  <c r="I89" i="7"/>
  <c r="K89" i="7" s="1"/>
  <c r="I78" i="7"/>
  <c r="K78" i="7" s="1"/>
  <c r="I99" i="7"/>
  <c r="K99" i="7" s="1"/>
  <c r="I48" i="7"/>
  <c r="K48" i="7" s="1"/>
  <c r="I70" i="7"/>
  <c r="K70" i="7" s="1"/>
  <c r="I73" i="7"/>
  <c r="K73" i="7" s="1"/>
  <c r="I82" i="7"/>
  <c r="K82" i="7" s="1"/>
  <c r="I35" i="7"/>
  <c r="K35" i="7" s="1"/>
  <c r="I59" i="7"/>
  <c r="K59" i="7" s="1"/>
  <c r="I11" i="7"/>
  <c r="K11" i="7" s="1"/>
  <c r="I24" i="7"/>
  <c r="K24" i="7" s="1"/>
  <c r="I23" i="7"/>
  <c r="K23" i="7" s="1"/>
  <c r="I38" i="7"/>
  <c r="K38" i="7" s="1"/>
  <c r="I6" i="7"/>
  <c r="K6" i="7" s="1"/>
  <c r="I2" i="7"/>
  <c r="K2" i="7" s="1"/>
  <c r="M16" i="7"/>
  <c r="M85" i="7"/>
  <c r="M42" i="7"/>
  <c r="I39" i="7"/>
  <c r="K39" i="7" s="1"/>
  <c r="M39" i="7"/>
  <c r="M9" i="7"/>
  <c r="M83" i="7"/>
  <c r="M30" i="7"/>
  <c r="M26" i="7"/>
  <c r="M101" i="7"/>
  <c r="M96" i="7"/>
  <c r="M87" i="7"/>
  <c r="M59" i="7"/>
  <c r="M77" i="7"/>
  <c r="M21" i="7"/>
  <c r="M79" i="7"/>
  <c r="M3" i="7"/>
  <c r="M66" i="7"/>
  <c r="M4" i="7"/>
  <c r="M20" i="7"/>
  <c r="M29" i="7"/>
  <c r="I8" i="7"/>
  <c r="K8" i="7" s="1"/>
  <c r="M8" i="7"/>
  <c r="M45" i="7"/>
  <c r="M94" i="7"/>
  <c r="M37" i="7"/>
  <c r="I51" i="7"/>
  <c r="K51" i="7" s="1"/>
  <c r="I92" i="7"/>
  <c r="K92" i="7" s="1"/>
  <c r="M15" i="7"/>
  <c r="M33" i="7"/>
  <c r="M72" i="7"/>
  <c r="M97" i="7"/>
  <c r="M80" i="7"/>
  <c r="M47" i="7"/>
  <c r="I71" i="7"/>
  <c r="K71" i="7" s="1"/>
  <c r="M71" i="7"/>
  <c r="M52" i="7"/>
  <c r="M88" i="7"/>
  <c r="M74" i="7"/>
  <c r="M43" i="7"/>
  <c r="M67" i="7"/>
  <c r="M50" i="7"/>
  <c r="M68" i="7"/>
  <c r="M5" i="7"/>
  <c r="M6" i="7"/>
  <c r="M75" i="7"/>
  <c r="M53" i="7"/>
  <c r="M28" i="7"/>
  <c r="M54" i="7"/>
  <c r="M95" i="7"/>
  <c r="M58" i="7"/>
  <c r="M78" i="7"/>
  <c r="M82" i="7"/>
  <c r="M2" i="7"/>
  <c r="M76" i="7"/>
  <c r="I5" i="7"/>
  <c r="K5" i="7" s="1"/>
  <c r="N5" i="7" s="1"/>
  <c r="O5" i="7" s="1"/>
  <c r="I84" i="7"/>
  <c r="K84" i="7" s="1"/>
  <c r="I32" i="7"/>
  <c r="K32" i="7" s="1"/>
  <c r="I56" i="7"/>
  <c r="K56" i="7" s="1"/>
  <c r="I69" i="7"/>
  <c r="K69" i="7" s="1"/>
  <c r="I61" i="7"/>
  <c r="K61" i="7" s="1"/>
  <c r="I94" i="7"/>
  <c r="K94" i="7" s="1"/>
  <c r="N94" i="7" s="1"/>
  <c r="O94" i="7" s="1"/>
  <c r="G2" i="7"/>
  <c r="L2" i="7" s="1"/>
  <c r="M13" i="7"/>
  <c r="I80" i="7"/>
  <c r="K80" i="7" s="1"/>
  <c r="N80" i="7" s="1"/>
  <c r="O80" i="7" s="1"/>
  <c r="M61" i="7"/>
  <c r="M51" i="7"/>
  <c r="M57" i="7"/>
  <c r="M25" i="7"/>
  <c r="M10" i="7"/>
  <c r="M11" i="7"/>
  <c r="M24" i="7"/>
  <c r="M60" i="7"/>
  <c r="M31" i="7"/>
  <c r="I91" i="7"/>
  <c r="K91" i="7" s="1"/>
  <c r="M91" i="7"/>
  <c r="M98" i="7"/>
  <c r="M40" i="7"/>
  <c r="M22" i="7"/>
  <c r="M73" i="7"/>
  <c r="I95" i="7"/>
  <c r="K95" i="7" s="1"/>
  <c r="N95" i="7" s="1"/>
  <c r="O95" i="7" s="1"/>
  <c r="I55" i="7"/>
  <c r="K55" i="7" s="1"/>
  <c r="I36" i="7"/>
  <c r="K36" i="7" s="1"/>
  <c r="I7" i="7"/>
  <c r="K7" i="7" s="1"/>
  <c r="I45" i="7"/>
  <c r="K45" i="7" s="1"/>
  <c r="N45" i="7" s="1"/>
  <c r="O45" i="7" s="1"/>
  <c r="I93" i="7"/>
  <c r="K93" i="7" s="1"/>
  <c r="I97" i="7"/>
  <c r="K97" i="7" s="1"/>
  <c r="N97" i="7" s="1"/>
  <c r="O97" i="7" s="1"/>
  <c r="I74" i="7"/>
  <c r="K74" i="7" s="1"/>
  <c r="N74" i="7" s="1"/>
  <c r="O74" i="7" s="1"/>
  <c r="M17" i="7"/>
  <c r="I62" i="7"/>
  <c r="K62" i="7" s="1"/>
  <c r="I76" i="7"/>
  <c r="K76" i="7" s="1"/>
  <c r="M36" i="7"/>
  <c r="M49" i="7"/>
  <c r="M89" i="7"/>
  <c r="M69" i="7"/>
  <c r="M86" i="7"/>
  <c r="M63" i="7"/>
  <c r="M48" i="7"/>
  <c r="M7" i="7"/>
  <c r="M93" i="7"/>
  <c r="M92" i="7"/>
  <c r="M38" i="7"/>
  <c r="M12" i="7"/>
  <c r="M23" i="7"/>
  <c r="M70" i="7"/>
  <c r="M14" i="7"/>
  <c r="M19" i="7"/>
  <c r="M27" i="7"/>
  <c r="F2" i="7"/>
  <c r="B2" i="7"/>
  <c r="M55" i="7"/>
  <c r="M81" i="7"/>
  <c r="M84" i="7"/>
  <c r="M41" i="7"/>
  <c r="M46" i="7"/>
  <c r="M34" i="7"/>
  <c r="M18" i="7"/>
  <c r="M64" i="7"/>
  <c r="M90" i="7"/>
  <c r="M32" i="7"/>
  <c r="M65" i="7"/>
  <c r="M99" i="7"/>
  <c r="M56" i="7"/>
  <c r="M100" i="7"/>
  <c r="M35" i="7"/>
  <c r="M62" i="7"/>
  <c r="M44" i="7"/>
  <c r="I12" i="7"/>
  <c r="K12" i="7" s="1"/>
  <c r="I66" i="7"/>
  <c r="K66" i="7" s="1"/>
  <c r="N66" i="7" s="1"/>
  <c r="O66" i="7" s="1"/>
  <c r="I53" i="7"/>
  <c r="K53" i="7" s="1"/>
  <c r="N53" i="7" s="1"/>
  <c r="O53" i="7" s="1"/>
  <c r="I46" i="7"/>
  <c r="K46" i="7" s="1"/>
  <c r="N46" i="7" s="1"/>
  <c r="O46" i="7" s="1"/>
  <c r="I96" i="7"/>
  <c r="K96" i="7" s="1"/>
  <c r="P95" i="7" l="1"/>
  <c r="P46" i="7"/>
  <c r="N8" i="7"/>
  <c r="O8" i="7" s="1"/>
  <c r="N13" i="7"/>
  <c r="O13" i="7" s="1"/>
  <c r="N12" i="7"/>
  <c r="O12" i="7" s="1"/>
  <c r="N43" i="7"/>
  <c r="O43" i="7" s="1"/>
  <c r="N57" i="7"/>
  <c r="O57" i="7" s="1"/>
  <c r="N51" i="7"/>
  <c r="O51" i="7" s="1"/>
  <c r="N56" i="7"/>
  <c r="O56" i="7" s="1"/>
  <c r="N62" i="7"/>
  <c r="O62" i="7" s="1"/>
  <c r="N7" i="7"/>
  <c r="O7" i="7" s="1"/>
  <c r="N69" i="7"/>
  <c r="O69" i="7" s="1"/>
  <c r="N84" i="7"/>
  <c r="O84" i="7" s="1"/>
  <c r="N39" i="7"/>
  <c r="O39" i="7" s="1"/>
  <c r="N82" i="7"/>
  <c r="O82" i="7" s="1"/>
  <c r="N68" i="7"/>
  <c r="O68" i="7" s="1"/>
  <c r="N79" i="7"/>
  <c r="O79" i="7" s="1"/>
  <c r="N50" i="7"/>
  <c r="O50" i="7" s="1"/>
  <c r="N15" i="7"/>
  <c r="O15" i="7" s="1"/>
  <c r="N4" i="7"/>
  <c r="O4" i="7" s="1"/>
  <c r="N20" i="7"/>
  <c r="O20" i="7" s="1"/>
  <c r="N96" i="7"/>
  <c r="O96" i="7" s="1"/>
  <c r="N36" i="7"/>
  <c r="O36" i="7" s="1"/>
  <c r="N93" i="7"/>
  <c r="O93" i="7" s="1"/>
  <c r="N6" i="7"/>
  <c r="O6" i="7" s="1"/>
  <c r="N78" i="7"/>
  <c r="O78" i="7" s="1"/>
  <c r="N37" i="7"/>
  <c r="O37" i="7" s="1"/>
  <c r="N58" i="7"/>
  <c r="O58" i="7" s="1"/>
  <c r="N87" i="7"/>
  <c r="O87" i="7" s="1"/>
  <c r="N3" i="7"/>
  <c r="O3" i="7" s="1"/>
  <c r="N77" i="7"/>
  <c r="O77" i="7" s="1"/>
  <c r="N54" i="7"/>
  <c r="O54" i="7" s="1"/>
  <c r="N76" i="7"/>
  <c r="O76" i="7" s="1"/>
  <c r="N71" i="7"/>
  <c r="O71" i="7" s="1"/>
  <c r="N59" i="7"/>
  <c r="O59" i="7" s="1"/>
  <c r="N75" i="7"/>
  <c r="O75" i="7" s="1"/>
  <c r="N83" i="7"/>
  <c r="O83" i="7" s="1"/>
  <c r="N85" i="7"/>
  <c r="O85" i="7" s="1"/>
  <c r="N67" i="7"/>
  <c r="O67" i="7" s="1"/>
  <c r="N52" i="7"/>
  <c r="O52" i="7" s="1"/>
  <c r="N16" i="7"/>
  <c r="O16" i="7" s="1"/>
  <c r="N29" i="7"/>
  <c r="O29" i="7" s="1"/>
  <c r="N88" i="7"/>
  <c r="O88" i="7" s="1"/>
  <c r="N47" i="7"/>
  <c r="O47" i="7" s="1"/>
  <c r="N33" i="7"/>
  <c r="O33" i="7" s="1"/>
  <c r="N55" i="7"/>
  <c r="O55" i="7" s="1"/>
  <c r="N91" i="7"/>
  <c r="O91" i="7" s="1"/>
  <c r="N61" i="7"/>
  <c r="O61" i="7" s="1"/>
  <c r="N32" i="7"/>
  <c r="O32" i="7" s="1"/>
  <c r="N30" i="7"/>
  <c r="O30" i="7" s="1"/>
  <c r="N9" i="7"/>
  <c r="O9" i="7" s="1"/>
  <c r="N28" i="7"/>
  <c r="O28" i="7" s="1"/>
  <c r="N26" i="7"/>
  <c r="O26" i="7" s="1"/>
  <c r="N42" i="7"/>
  <c r="O42" i="7" s="1"/>
  <c r="N72" i="7"/>
  <c r="O72" i="7" s="1"/>
  <c r="N101" i="7"/>
  <c r="O101" i="7" s="1"/>
  <c r="N21" i="7"/>
  <c r="O21" i="7" s="1"/>
  <c r="N24" i="7"/>
  <c r="O24" i="7" s="1"/>
  <c r="N99" i="7"/>
  <c r="O99" i="7" s="1"/>
  <c r="N14" i="7"/>
  <c r="O14" i="7" s="1"/>
  <c r="N100" i="7"/>
  <c r="O100" i="7" s="1"/>
  <c r="N44" i="7"/>
  <c r="O44" i="7" s="1"/>
  <c r="N65" i="7"/>
  <c r="O65" i="7" s="1"/>
  <c r="N49" i="7"/>
  <c r="O49" i="7" s="1"/>
  <c r="N41" i="7"/>
  <c r="O41" i="7" s="1"/>
  <c r="N31" i="7"/>
  <c r="O31" i="7" s="1"/>
  <c r="N11" i="7"/>
  <c r="O11" i="7" s="1"/>
  <c r="N73" i="7"/>
  <c r="O73" i="7" s="1"/>
  <c r="N81" i="7"/>
  <c r="O81" i="7" s="1"/>
  <c r="N25" i="7"/>
  <c r="O25" i="7" s="1"/>
  <c r="N64" i="7"/>
  <c r="O64" i="7" s="1"/>
  <c r="N98" i="7"/>
  <c r="O98" i="7" s="1"/>
  <c r="N60" i="7"/>
  <c r="O60" i="7" s="1"/>
  <c r="N90" i="7"/>
  <c r="O90" i="7" s="1"/>
  <c r="N27" i="7"/>
  <c r="O27" i="7" s="1"/>
  <c r="N38" i="7"/>
  <c r="O38" i="7" s="1"/>
  <c r="N70" i="7"/>
  <c r="O70" i="7" s="1"/>
  <c r="N89" i="7"/>
  <c r="O89" i="7" s="1"/>
  <c r="N19" i="7"/>
  <c r="O19" i="7" s="1"/>
  <c r="N22" i="7"/>
  <c r="O22" i="7" s="1"/>
  <c r="N10" i="7"/>
  <c r="O10" i="7" s="1"/>
  <c r="N92" i="7"/>
  <c r="O92" i="7" s="1"/>
  <c r="N23" i="7"/>
  <c r="O23" i="7" s="1"/>
  <c r="N35" i="7"/>
  <c r="O35" i="7" s="1"/>
  <c r="N48" i="7"/>
  <c r="O48" i="7" s="1"/>
  <c r="N34" i="7"/>
  <c r="O34" i="7" s="1"/>
  <c r="N18" i="7"/>
  <c r="O18" i="7" s="1"/>
  <c r="N86" i="7"/>
  <c r="O86" i="7" s="1"/>
  <c r="N17" i="7"/>
  <c r="O17" i="7" s="1"/>
  <c r="N63" i="7"/>
  <c r="O63" i="7" s="1"/>
  <c r="N40" i="7"/>
  <c r="O40" i="7" s="1"/>
  <c r="N2" i="7"/>
  <c r="O2" i="7" s="1"/>
  <c r="P2" i="7" s="1"/>
  <c r="J3" i="8" l="1"/>
  <c r="P35" i="7"/>
  <c r="P28" i="7"/>
  <c r="P66" i="7"/>
  <c r="P10" i="7"/>
  <c r="P67" i="7"/>
  <c r="P68" i="7"/>
  <c r="P38" i="7"/>
  <c r="P9" i="7"/>
  <c r="P18" i="7"/>
  <c r="P49" i="7"/>
  <c r="P11" i="7"/>
  <c r="P90" i="7"/>
  <c r="P91" i="7"/>
  <c r="P26" i="7"/>
  <c r="P32" i="7"/>
  <c r="P45" i="7"/>
  <c r="P25" i="7"/>
  <c r="P43" i="7"/>
  <c r="P31" i="7"/>
  <c r="P56" i="7"/>
  <c r="P30" i="7"/>
  <c r="P86" i="7"/>
  <c r="P72" i="7"/>
  <c r="P3" i="7"/>
  <c r="P79" i="7"/>
  <c r="P96" i="7"/>
  <c r="P97" i="7"/>
  <c r="P51" i="7"/>
  <c r="P40" i="7"/>
  <c r="P63" i="7"/>
  <c r="P44" i="7"/>
  <c r="P93" i="7"/>
  <c r="P12" i="7"/>
  <c r="P73" i="7"/>
  <c r="P89" i="7"/>
  <c r="P78" i="7"/>
  <c r="P83" i="7"/>
  <c r="P36" i="7"/>
  <c r="P71" i="7"/>
  <c r="P81" i="7"/>
  <c r="P82" i="7"/>
  <c r="P42" i="7"/>
  <c r="P101" i="7"/>
  <c r="P27" i="7"/>
  <c r="P33" i="7"/>
  <c r="P34" i="7"/>
  <c r="P17" i="7"/>
  <c r="P84" i="7"/>
  <c r="P77" i="7"/>
  <c r="P88" i="7"/>
  <c r="P6" i="7"/>
  <c r="P7" i="7"/>
  <c r="P21" i="7"/>
  <c r="P80" i="7"/>
  <c r="P85" i="7"/>
  <c r="P57" i="7"/>
  <c r="P13" i="7"/>
  <c r="P64" i="7"/>
  <c r="P65" i="7"/>
  <c r="P100" i="7"/>
  <c r="P92" i="7"/>
  <c r="P60" i="7"/>
  <c r="P37" i="7"/>
  <c r="P16" i="7"/>
  <c r="P8" i="7"/>
  <c r="P87" i="7"/>
  <c r="P22" i="7"/>
  <c r="P23" i="7"/>
  <c r="P61" i="7"/>
  <c r="P41" i="7"/>
  <c r="P19" i="7"/>
  <c r="P24" i="7"/>
  <c r="P20" i="7"/>
  <c r="P39" i="7"/>
  <c r="P98" i="7"/>
  <c r="P99" i="7"/>
  <c r="P74" i="7"/>
  <c r="P50" i="7"/>
  <c r="P15" i="7"/>
  <c r="P29" i="7"/>
  <c r="P62" i="7"/>
  <c r="P47" i="7"/>
  <c r="P48" i="7"/>
  <c r="P53" i="7"/>
  <c r="P75" i="7"/>
  <c r="P76" i="7"/>
  <c r="P54" i="7"/>
  <c r="P55" i="7"/>
  <c r="P58" i="7"/>
  <c r="P59" i="7"/>
  <c r="P94" i="7"/>
  <c r="P4" i="7"/>
  <c r="P5" i="7"/>
  <c r="P69" i="7"/>
  <c r="P70" i="7"/>
  <c r="P52" i="7"/>
  <c r="P14" i="7"/>
  <c r="J21" i="8"/>
  <c r="J22" i="8"/>
  <c r="J23" i="8"/>
  <c r="L3"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<sst xmlns="http://schemas.openxmlformats.org/spreadsheetml/2006/main" count="3554" uniqueCount="616">
  <si>
    <t>Customer ID</t>
  </si>
  <si>
    <t>Full Name</t>
  </si>
  <si>
    <t>Customer Type</t>
  </si>
  <si>
    <t>Nationality</t>
  </si>
  <si>
    <t>Country</t>
  </si>
  <si>
    <t>Occupation/Industry</t>
  </si>
  <si>
    <t>Annual Income (USD)</t>
  </si>
  <si>
    <t>Product Requested</t>
  </si>
  <si>
    <t>Delivery Channel</t>
  </si>
  <si>
    <t>Account Purpose</t>
  </si>
  <si>
    <t>C0001</t>
  </si>
  <si>
    <t>Fatima Eze</t>
  </si>
  <si>
    <t>Individual</t>
  </si>
  <si>
    <t>Nigeria</t>
  </si>
  <si>
    <t>South Africa</t>
  </si>
  <si>
    <t>Architect</t>
  </si>
  <si>
    <t>Investment</t>
  </si>
  <si>
    <t>Branch</t>
  </si>
  <si>
    <t>Education</t>
  </si>
  <si>
    <t>C0002</t>
  </si>
  <si>
    <t>Precious Adeyemi</t>
  </si>
  <si>
    <t>Ghana</t>
  </si>
  <si>
    <t>Kenya</t>
  </si>
  <si>
    <t>Engineer</t>
  </si>
  <si>
    <t>Savings</t>
  </si>
  <si>
    <t>C0003</t>
  </si>
  <si>
    <t>Zainab Osei</t>
  </si>
  <si>
    <t>United Kingdom</t>
  </si>
  <si>
    <t>Teacher</t>
  </si>
  <si>
    <t>Corporate Account</t>
  </si>
  <si>
    <t>Online</t>
  </si>
  <si>
    <t>C0004</t>
  </si>
  <si>
    <t>Michael Obi</t>
  </si>
  <si>
    <t>Software Engineer</t>
  </si>
  <si>
    <t>C0005</t>
  </si>
  <si>
    <t>Mary Smith</t>
  </si>
  <si>
    <t>UAE</t>
  </si>
  <si>
    <t>Data Analyst</t>
  </si>
  <si>
    <t>Current</t>
  </si>
  <si>
    <t>C0006</t>
  </si>
  <si>
    <t>Ruth Smith</t>
  </si>
  <si>
    <t>United States</t>
  </si>
  <si>
    <t>C0007</t>
  </si>
  <si>
    <t>Esther Musa</t>
  </si>
  <si>
    <t>Canada</t>
  </si>
  <si>
    <t>Student</t>
  </si>
  <si>
    <t>Fixed Deposit</t>
  </si>
  <si>
    <t>Mobile App</t>
  </si>
  <si>
    <t>C0008</t>
  </si>
  <si>
    <t>James Nwosu</t>
  </si>
  <si>
    <t>Salary</t>
  </si>
  <si>
    <t>C0009</t>
  </si>
  <si>
    <t>Chioma Adeyemi</t>
  </si>
  <si>
    <t>Doctor</t>
  </si>
  <si>
    <t>Relationship Manager</t>
  </si>
  <si>
    <t>Operations</t>
  </si>
  <si>
    <t>C0010</t>
  </si>
  <si>
    <t>Zainab Williams</t>
  </si>
  <si>
    <t>Graphic Designer</t>
  </si>
  <si>
    <t>Trade</t>
  </si>
  <si>
    <t>C0011</t>
  </si>
  <si>
    <t>Zainab Garba</t>
  </si>
  <si>
    <t>C0012</t>
  </si>
  <si>
    <t>Ahmed Ali</t>
  </si>
  <si>
    <t>Lawyer</t>
  </si>
  <si>
    <t>C0013</t>
  </si>
  <si>
    <t>Michael Suleiman</t>
  </si>
  <si>
    <t>C0014</t>
  </si>
  <si>
    <t>David Williams</t>
  </si>
  <si>
    <t>Journalist</t>
  </si>
  <si>
    <t>C0015</t>
  </si>
  <si>
    <t>Fatima Ali</t>
  </si>
  <si>
    <t>Accountant</t>
  </si>
  <si>
    <t>C0016</t>
  </si>
  <si>
    <t>Peter Bello</t>
  </si>
  <si>
    <t>Trade Finance</t>
  </si>
  <si>
    <t>C0017</t>
  </si>
  <si>
    <t>Emeka Bello</t>
  </si>
  <si>
    <t>C0018</t>
  </si>
  <si>
    <t>Zainab Brown</t>
  </si>
  <si>
    <t>C0019</t>
  </si>
  <si>
    <t>Zainab Adeyemi</t>
  </si>
  <si>
    <t>Business</t>
  </si>
  <si>
    <t>C0020</t>
  </si>
  <si>
    <t>Amina Mensah</t>
  </si>
  <si>
    <t>C0021</t>
  </si>
  <si>
    <t>Halima Garba</t>
  </si>
  <si>
    <t>C0022</t>
  </si>
  <si>
    <t>Ahmed Adebayo</t>
  </si>
  <si>
    <t>C0023</t>
  </si>
  <si>
    <t>Fatima Mensah</t>
  </si>
  <si>
    <t>C0024</t>
  </si>
  <si>
    <t>Peter Clark</t>
  </si>
  <si>
    <t>Trader</t>
  </si>
  <si>
    <t>C0025</t>
  </si>
  <si>
    <t>Chioma Adebayo</t>
  </si>
  <si>
    <t>C0026</t>
  </si>
  <si>
    <t>C0027</t>
  </si>
  <si>
    <t>Ruth Clark</t>
  </si>
  <si>
    <t>C0028</t>
  </si>
  <si>
    <t>Grace Clark</t>
  </si>
  <si>
    <t>C0029</t>
  </si>
  <si>
    <t>Precious Mohammed</t>
  </si>
  <si>
    <t>C0030</t>
  </si>
  <si>
    <t>Precious Smith</t>
  </si>
  <si>
    <t>Business Owner</t>
  </si>
  <si>
    <t>C0031</t>
  </si>
  <si>
    <t>Grace Garba</t>
  </si>
  <si>
    <t>C0032</t>
  </si>
  <si>
    <t>Emeka Garba</t>
  </si>
  <si>
    <t>C0033</t>
  </si>
  <si>
    <t>Esther Okeke</t>
  </si>
  <si>
    <t>C0034</t>
  </si>
  <si>
    <t>Ruth Mohammed</t>
  </si>
  <si>
    <t>C0035</t>
  </si>
  <si>
    <t>Amina Smith</t>
  </si>
  <si>
    <t>C0036</t>
  </si>
  <si>
    <t>Ibrahim Bello</t>
  </si>
  <si>
    <t>C0037</t>
  </si>
  <si>
    <t>Chioma Johnson</t>
  </si>
  <si>
    <t>C0038</t>
  </si>
  <si>
    <t>James Garba</t>
  </si>
  <si>
    <t>Farmer</t>
  </si>
  <si>
    <t>C0039</t>
  </si>
  <si>
    <t>Amina Musa</t>
  </si>
  <si>
    <t>C0040</t>
  </si>
  <si>
    <t>James Smith</t>
  </si>
  <si>
    <t>Civil Servant</t>
  </si>
  <si>
    <t>C0041</t>
  </si>
  <si>
    <t>Esther Eze</t>
  </si>
  <si>
    <t>C0042</t>
  </si>
  <si>
    <t>Zainab Obi</t>
  </si>
  <si>
    <t>C0043</t>
  </si>
  <si>
    <t>James Adebayo</t>
  </si>
  <si>
    <t>C0044</t>
  </si>
  <si>
    <t>C0045</t>
  </si>
  <si>
    <t>Ibrahim Osei</t>
  </si>
  <si>
    <t>C0046</t>
  </si>
  <si>
    <t>Ibrahim Adebayo</t>
  </si>
  <si>
    <t>C0047</t>
  </si>
  <si>
    <t>Ahmed Mensah</t>
  </si>
  <si>
    <t>C0048</t>
  </si>
  <si>
    <t>Emeka Eze</t>
  </si>
  <si>
    <t>C0049</t>
  </si>
  <si>
    <t>Peter Smith</t>
  </si>
  <si>
    <t>C0050</t>
  </si>
  <si>
    <t>Grace Mensah</t>
  </si>
  <si>
    <t>C0051</t>
  </si>
  <si>
    <t>Ibrahim Mensah</t>
  </si>
  <si>
    <t>C0052</t>
  </si>
  <si>
    <t>Ahmed Adeyemi</t>
  </si>
  <si>
    <t>C0053</t>
  </si>
  <si>
    <t>Chioma Suleiman</t>
  </si>
  <si>
    <t>C0054</t>
  </si>
  <si>
    <t>Samuel Okeke</t>
  </si>
  <si>
    <t>C0055</t>
  </si>
  <si>
    <t>Precious Adebayo</t>
  </si>
  <si>
    <t>C0056</t>
  </si>
  <si>
    <t>Ahmed Smith</t>
  </si>
  <si>
    <t>C0057</t>
  </si>
  <si>
    <t>C0058</t>
  </si>
  <si>
    <t>Samuel Brown</t>
  </si>
  <si>
    <t>C0059</t>
  </si>
  <si>
    <t>C0060</t>
  </si>
  <si>
    <t>Michael Williams</t>
  </si>
  <si>
    <t>C0061</t>
  </si>
  <si>
    <t>Emeka Brown</t>
  </si>
  <si>
    <t>C0062</t>
  </si>
  <si>
    <t>Tunde Johnson</t>
  </si>
  <si>
    <t>C0063</t>
  </si>
  <si>
    <t>Ruth Obi</t>
  </si>
  <si>
    <t>C0064</t>
  </si>
  <si>
    <t>C0065</t>
  </si>
  <si>
    <t>Ruth Adebayo</t>
  </si>
  <si>
    <t>C0066</t>
  </si>
  <si>
    <t>Mary Okeke</t>
  </si>
  <si>
    <t>C0067</t>
  </si>
  <si>
    <t>Michael Ali</t>
  </si>
  <si>
    <t>C0068</t>
  </si>
  <si>
    <t>Grace Adeyemi</t>
  </si>
  <si>
    <t>C0069</t>
  </si>
  <si>
    <t>Zainab Mohammed</t>
  </si>
  <si>
    <t>C0070</t>
  </si>
  <si>
    <t>Ibrahim Suleiman</t>
  </si>
  <si>
    <t>C0071</t>
  </si>
  <si>
    <t>Apex Logistics Ltd</t>
  </si>
  <si>
    <t>Corporate</t>
  </si>
  <si>
    <t>Manufacturing</t>
  </si>
  <si>
    <t>C0072</t>
  </si>
  <si>
    <t>FinTech</t>
  </si>
  <si>
    <t>C0073</t>
  </si>
  <si>
    <t>Green Energy Ltd</t>
  </si>
  <si>
    <t>Logistics</t>
  </si>
  <si>
    <t>C0074</t>
  </si>
  <si>
    <t>Prime Logistics Ltd</t>
  </si>
  <si>
    <t>C0075</t>
  </si>
  <si>
    <t>Blue Logistics Ltd</t>
  </si>
  <si>
    <t>C0076</t>
  </si>
  <si>
    <t>Prime Tech Ltd</t>
  </si>
  <si>
    <t>Oil &amp; Gas</t>
  </si>
  <si>
    <t>C0077</t>
  </si>
  <si>
    <t>Apex Farms Ltd</t>
  </si>
  <si>
    <t>C0078</t>
  </si>
  <si>
    <t>Orion Foods Ltd</t>
  </si>
  <si>
    <t>C0079</t>
  </si>
  <si>
    <t>Orion Manufacturing Ltd</t>
  </si>
  <si>
    <t>C0080</t>
  </si>
  <si>
    <t>Orion Tech Ltd</t>
  </si>
  <si>
    <t>C0081</t>
  </si>
  <si>
    <t>Evergreen Manufacturing Ltd</t>
  </si>
  <si>
    <t>C0082</t>
  </si>
  <si>
    <t>Apex Tech Ltd</t>
  </si>
  <si>
    <t>C0083</t>
  </si>
  <si>
    <t>Green Manufacturing Ltd</t>
  </si>
  <si>
    <t>C0084</t>
  </si>
  <si>
    <t>Apex Manufacturing Ltd</t>
  </si>
  <si>
    <t>C0085</t>
  </si>
  <si>
    <t>Agriculture</t>
  </si>
  <si>
    <t>C0086</t>
  </si>
  <si>
    <t>Green Foods Ltd</t>
  </si>
  <si>
    <t>C0087</t>
  </si>
  <si>
    <t>Blue Farms Ltd</t>
  </si>
  <si>
    <t>C0088</t>
  </si>
  <si>
    <t>Evergreen Logistics Ltd</t>
  </si>
  <si>
    <t>C0089</t>
  </si>
  <si>
    <t>C0090</t>
  </si>
  <si>
    <t>Blue Tech Ltd</t>
  </si>
  <si>
    <t>C0091</t>
  </si>
  <si>
    <t>Women First Foundation</t>
  </si>
  <si>
    <t>NGO</t>
  </si>
  <si>
    <t>Non-Profit</t>
  </si>
  <si>
    <t>C0092</t>
  </si>
  <si>
    <t>Bright Future Foundation</t>
  </si>
  <si>
    <t>C0093</t>
  </si>
  <si>
    <t>Green Earth Foundation</t>
  </si>
  <si>
    <t>C0094</t>
  </si>
  <si>
    <t>C0095</t>
  </si>
  <si>
    <t>Health Access Foundation</t>
  </si>
  <si>
    <t>C0096</t>
  </si>
  <si>
    <t>C0097</t>
  </si>
  <si>
    <t>C0098</t>
  </si>
  <si>
    <t>C0099</t>
  </si>
  <si>
    <t>C0100</t>
  </si>
  <si>
    <t>ID Type</t>
  </si>
  <si>
    <t>ID Number</t>
  </si>
  <si>
    <t>ID Valid</t>
  </si>
  <si>
    <t>Address Verified</t>
  </si>
  <si>
    <t>Phone Verified</t>
  </si>
  <si>
    <t>Email Verified</t>
  </si>
  <si>
    <t>Biometric Verified</t>
  </si>
  <si>
    <t>Verification Officer</t>
  </si>
  <si>
    <t>Verification Date</t>
  </si>
  <si>
    <t>CIP Status</t>
  </si>
  <si>
    <t>Driver Licence</t>
  </si>
  <si>
    <t>ID305169</t>
  </si>
  <si>
    <t>Yes</t>
  </si>
  <si>
    <t>Officer 1</t>
  </si>
  <si>
    <t>Passed</t>
  </si>
  <si>
    <t>ID512005</t>
  </si>
  <si>
    <t>No</t>
  </si>
  <si>
    <t>Officer 5</t>
  </si>
  <si>
    <t>Pending</t>
  </si>
  <si>
    <t>Passport</t>
  </si>
  <si>
    <t>ID414350</t>
  </si>
  <si>
    <t>Officer 2</t>
  </si>
  <si>
    <t>ID594394</t>
  </si>
  <si>
    <t>Officer 3</t>
  </si>
  <si>
    <t>CAC Certificate</t>
  </si>
  <si>
    <t>ID185171</t>
  </si>
  <si>
    <t>ID459519</t>
  </si>
  <si>
    <t>ID289245</t>
  </si>
  <si>
    <t>Officer 4</t>
  </si>
  <si>
    <t>ID268505</t>
  </si>
  <si>
    <t>ID880721</t>
  </si>
  <si>
    <t>ID261320</t>
  </si>
  <si>
    <t>ID604712</t>
  </si>
  <si>
    <t>ID945183</t>
  </si>
  <si>
    <t>ID982294</t>
  </si>
  <si>
    <t>ID890145</t>
  </si>
  <si>
    <t>ID904288</t>
  </si>
  <si>
    <t>ID257595</t>
  </si>
  <si>
    <t>National ID</t>
  </si>
  <si>
    <t>ID488858</t>
  </si>
  <si>
    <t>ID509072</t>
  </si>
  <si>
    <t>ID415223</t>
  </si>
  <si>
    <t>ID801470</t>
  </si>
  <si>
    <t>ID270841</t>
  </si>
  <si>
    <t>ID884159</t>
  </si>
  <si>
    <t>ID196526</t>
  </si>
  <si>
    <t>ID356399</t>
  </si>
  <si>
    <t>ID546095</t>
  </si>
  <si>
    <t>ID723173</t>
  </si>
  <si>
    <t>ID761642</t>
  </si>
  <si>
    <t>ID204587</t>
  </si>
  <si>
    <t>ID689612</t>
  </si>
  <si>
    <t>ID908047</t>
  </si>
  <si>
    <t>ID350479</t>
  </si>
  <si>
    <t>ID564600</t>
  </si>
  <si>
    <t>ID994903</t>
  </si>
  <si>
    <t>ID991347</t>
  </si>
  <si>
    <t>ID132233</t>
  </si>
  <si>
    <t>ID317129</t>
  </si>
  <si>
    <t>ID780714</t>
  </si>
  <si>
    <t>ID231113</t>
  </si>
  <si>
    <t>ID905249</t>
  </si>
  <si>
    <t>ID493176</t>
  </si>
  <si>
    <t>ID148242</t>
  </si>
  <si>
    <t>ID311503</t>
  </si>
  <si>
    <t>ID626769</t>
  </si>
  <si>
    <t>ID735834</t>
  </si>
  <si>
    <t>ID107597</t>
  </si>
  <si>
    <t>ID952514</t>
  </si>
  <si>
    <t>ID608557</t>
  </si>
  <si>
    <t>ID539377</t>
  </si>
  <si>
    <t>ID462440</t>
  </si>
  <si>
    <t>ID306722</t>
  </si>
  <si>
    <t>ID174241</t>
  </si>
  <si>
    <t>ID228838</t>
  </si>
  <si>
    <t>ID207319</t>
  </si>
  <si>
    <t>ID618639</t>
  </si>
  <si>
    <t>ID424632</t>
  </si>
  <si>
    <t>ID668971</t>
  </si>
  <si>
    <t>ID144771</t>
  </si>
  <si>
    <t>ID410833</t>
  </si>
  <si>
    <t>ID821424</t>
  </si>
  <si>
    <t>ID920153</t>
  </si>
  <si>
    <t>ID496452</t>
  </si>
  <si>
    <t>ID550264</t>
  </si>
  <si>
    <t>ID639049</t>
  </si>
  <si>
    <t>ID847592</t>
  </si>
  <si>
    <t>ID644127</t>
  </si>
  <si>
    <t>ID525744</t>
  </si>
  <si>
    <t>ID103898</t>
  </si>
  <si>
    <t>ID428202</t>
  </si>
  <si>
    <t>ID877241</t>
  </si>
  <si>
    <t>ID513207</t>
  </si>
  <si>
    <t>ID199318</t>
  </si>
  <si>
    <t>ID309533</t>
  </si>
  <si>
    <t>ID188077</t>
  </si>
  <si>
    <t>ID230665</t>
  </si>
  <si>
    <t>ID816115</t>
  </si>
  <si>
    <t>ID458506</t>
  </si>
  <si>
    <t>ID667957</t>
  </si>
  <si>
    <t>ID723802</t>
  </si>
  <si>
    <t>ID253838</t>
  </si>
  <si>
    <t>ID321756</t>
  </si>
  <si>
    <t>ID103290</t>
  </si>
  <si>
    <t>ID309141</t>
  </si>
  <si>
    <t>ID499060</t>
  </si>
  <si>
    <t>ID145489</t>
  </si>
  <si>
    <t>ID357400</t>
  </si>
  <si>
    <t>ID878820</t>
  </si>
  <si>
    <t>ID910051</t>
  </si>
  <si>
    <t>ID297150</t>
  </si>
  <si>
    <t>ID368311</t>
  </si>
  <si>
    <t>ID614031</t>
  </si>
  <si>
    <t>ID348338</t>
  </si>
  <si>
    <t>ID470614</t>
  </si>
  <si>
    <t>ID102091</t>
  </si>
  <si>
    <t>ID553319</t>
  </si>
  <si>
    <t>ID267045</t>
  </si>
  <si>
    <t>ID752919</t>
  </si>
  <si>
    <t>ID734136</t>
  </si>
  <si>
    <t>ID875919</t>
  </si>
  <si>
    <t>ID297666</t>
  </si>
  <si>
    <t>ID373334</t>
  </si>
  <si>
    <t>Risk Score</t>
  </si>
  <si>
    <t>Money Service Business</t>
  </si>
  <si>
    <t>Germany</t>
  </si>
  <si>
    <t>Iran</t>
  </si>
  <si>
    <t>North Korea</t>
  </si>
  <si>
    <t>Product</t>
  </si>
  <si>
    <t>Channel</t>
  </si>
  <si>
    <t>Agent</t>
  </si>
  <si>
    <t>Non Face-to-Face</t>
  </si>
  <si>
    <t>Occupation</t>
  </si>
  <si>
    <t>Importer</t>
  </si>
  <si>
    <t>Clear</t>
  </si>
  <si>
    <t>Review</t>
  </si>
  <si>
    <t>EDD Review</t>
  </si>
  <si>
    <t>Reject</t>
  </si>
  <si>
    <t>Medical Doctor</t>
  </si>
  <si>
    <t>Entrepreneur</t>
  </si>
  <si>
    <t>Financial Analyst</t>
  </si>
  <si>
    <t>Screening Result</t>
  </si>
  <si>
    <t>-</t>
  </si>
  <si>
    <t>No Match</t>
  </si>
  <si>
    <t>None</t>
  </si>
  <si>
    <t>Domestic</t>
  </si>
  <si>
    <t>Moderate</t>
  </si>
  <si>
    <t>Severe</t>
  </si>
  <si>
    <t>Foreign</t>
  </si>
  <si>
    <t>Potential Match</t>
  </si>
  <si>
    <t>PEP</t>
  </si>
  <si>
    <t>PEP Type</t>
  </si>
  <si>
    <t>Sanction Match</t>
  </si>
  <si>
    <t>Watchlist</t>
  </si>
  <si>
    <t>Adverse Media</t>
  </si>
  <si>
    <t>Source of Wealth Obtained</t>
  </si>
  <si>
    <t>Customer Type Score</t>
  </si>
  <si>
    <t>Country Score</t>
  </si>
  <si>
    <t>Product Score</t>
  </si>
  <si>
    <t>Channel Score</t>
  </si>
  <si>
    <t>Screening Score</t>
  </si>
  <si>
    <t>Behaviour Score</t>
  </si>
  <si>
    <t>Total Score</t>
  </si>
  <si>
    <t>Risk Rating</t>
  </si>
  <si>
    <t>Unknown</t>
  </si>
  <si>
    <t xml:space="preserve">Unknown </t>
  </si>
  <si>
    <t>Occupation Score</t>
  </si>
  <si>
    <t>Due Diligence Tier</t>
  </si>
  <si>
    <t>Compliance Decision</t>
  </si>
  <si>
    <t>PEP Status</t>
  </si>
  <si>
    <t>Source of Wealth</t>
  </si>
  <si>
    <t>Override Trigger</t>
  </si>
  <si>
    <t>Due Diligence</t>
  </si>
  <si>
    <t>Low</t>
  </si>
  <si>
    <t>SDD</t>
  </si>
  <si>
    <t>Medium</t>
  </si>
  <si>
    <t>CDD</t>
  </si>
  <si>
    <t>High</t>
  </si>
  <si>
    <t>EDD</t>
  </si>
  <si>
    <t>Very High</t>
  </si>
  <si>
    <t>Decision</t>
  </si>
  <si>
    <t>Approve</t>
  </si>
  <si>
    <t>Escalate</t>
  </si>
  <si>
    <t>Customer Name</t>
  </si>
  <si>
    <t>Assigned Analyst</t>
  </si>
  <si>
    <t>Review Status</t>
  </si>
  <si>
    <t>Date Assigned</t>
  </si>
  <si>
    <t>Date Completed</t>
  </si>
  <si>
    <t>Outstanding Documents</t>
  </si>
  <si>
    <t>Findings</t>
  </si>
  <si>
    <t>MLRO Approval</t>
  </si>
  <si>
    <t>Final Decision</t>
  </si>
  <si>
    <t>Account Status</t>
  </si>
  <si>
    <t>John Doe</t>
  </si>
  <si>
    <t>Approved</t>
  </si>
  <si>
    <t>Further Review</t>
  </si>
  <si>
    <t>Rejected</t>
  </si>
  <si>
    <t>Declined</t>
  </si>
  <si>
    <t>further Review</t>
  </si>
  <si>
    <t>In Progress</t>
  </si>
  <si>
    <t>Awaiting Customer</t>
  </si>
  <si>
    <t>Completed</t>
  </si>
  <si>
    <t>Escalated</t>
  </si>
  <si>
    <t>Review Note</t>
  </si>
  <si>
    <t>Myanmar</t>
  </si>
  <si>
    <t>Syria</t>
  </si>
  <si>
    <t xml:space="preserve">Russia </t>
  </si>
  <si>
    <t>Transaction Date</t>
  </si>
  <si>
    <t>Transaction Type</t>
  </si>
  <si>
    <t>Amount (USD)</t>
  </si>
  <si>
    <t>Expected Annual Income</t>
  </si>
  <si>
    <t>Transaction Frequency (30 Days)</t>
  </si>
  <si>
    <t>High Value Flag</t>
  </si>
  <si>
    <t>Velocity Flag</t>
  </si>
  <si>
    <t>Geographic Flag</t>
  </si>
  <si>
    <t>Structuring Flag</t>
  </si>
  <si>
    <t>Overall Alert</t>
  </si>
  <si>
    <t>Escalation Required</t>
  </si>
  <si>
    <t>Cash Deposit</t>
  </si>
  <si>
    <t>Cash Withdrawal</t>
  </si>
  <si>
    <t>Local Transfer</t>
  </si>
  <si>
    <t>International Transfer</t>
  </si>
  <si>
    <t>POS Purchase</t>
  </si>
  <si>
    <t>ATM Withdrawal</t>
  </si>
  <si>
    <t>Mobile Transfer</t>
  </si>
  <si>
    <t>Online Transfer</t>
  </si>
  <si>
    <t>Salary Credit</t>
  </si>
  <si>
    <t>Bill Payment</t>
  </si>
  <si>
    <t>AML/CFT COMPLIANCE DASHBOARD</t>
  </si>
  <si>
    <t>Total Customers</t>
  </si>
  <si>
    <t>High-Risk Customers</t>
  </si>
  <si>
    <t>PEP Customers</t>
  </si>
  <si>
    <t>EDD Customers</t>
  </si>
  <si>
    <t>Active Alerts</t>
  </si>
  <si>
    <t>Escalated Cases</t>
  </si>
  <si>
    <t>Count</t>
  </si>
  <si>
    <t>Cleared</t>
  </si>
  <si>
    <t>Alert Status</t>
  </si>
  <si>
    <t>Normal</t>
  </si>
  <si>
    <t>Alert</t>
  </si>
  <si>
    <t>Critical</t>
  </si>
  <si>
    <t>Officer 6</t>
  </si>
  <si>
    <t>Officer 7</t>
  </si>
  <si>
    <t>Officer 8</t>
  </si>
  <si>
    <t>Officer 9</t>
  </si>
  <si>
    <t>Officer 10</t>
  </si>
  <si>
    <t>Officer 11</t>
  </si>
  <si>
    <t>Officer 12</t>
  </si>
  <si>
    <t>Officer 13</t>
  </si>
  <si>
    <t>Officer 14</t>
  </si>
  <si>
    <t>Officer 15</t>
  </si>
  <si>
    <t>Officer 16</t>
  </si>
  <si>
    <t>Officer 17</t>
  </si>
  <si>
    <t>Officer 18</t>
  </si>
  <si>
    <t>Officer 19</t>
  </si>
  <si>
    <t>Officer 20</t>
  </si>
  <si>
    <t>Officer 21</t>
  </si>
  <si>
    <t>Officer 22</t>
  </si>
  <si>
    <t>Officer 23</t>
  </si>
  <si>
    <t>Officer 24</t>
  </si>
  <si>
    <t>Officer 25</t>
  </si>
  <si>
    <t>Officer 26</t>
  </si>
  <si>
    <t>Officer 27</t>
  </si>
  <si>
    <t>Officer 28</t>
  </si>
  <si>
    <t>Officer 29</t>
  </si>
  <si>
    <t>Officer 30</t>
  </si>
  <si>
    <t>Officer 31</t>
  </si>
  <si>
    <t>Officer 32</t>
  </si>
  <si>
    <t>Officer 33</t>
  </si>
  <si>
    <t>Officer 34</t>
  </si>
  <si>
    <t>Officer 35</t>
  </si>
  <si>
    <t>Officer 36</t>
  </si>
  <si>
    <t>Officer 37</t>
  </si>
  <si>
    <t>Officer 38</t>
  </si>
  <si>
    <t>Officer 39</t>
  </si>
  <si>
    <t>Officer 40</t>
  </si>
  <si>
    <t>Officer 41</t>
  </si>
  <si>
    <t>Officer 42</t>
  </si>
  <si>
    <t>Officer 43</t>
  </si>
  <si>
    <t>Officer 44</t>
  </si>
  <si>
    <t>Officer 45</t>
  </si>
  <si>
    <t>Officer 46</t>
  </si>
  <si>
    <t>Officer 47</t>
  </si>
  <si>
    <t>Officer 48</t>
  </si>
  <si>
    <t>Officer 49</t>
  </si>
  <si>
    <t>Officer 50</t>
  </si>
  <si>
    <t>Officer 51</t>
  </si>
  <si>
    <t>Officer 52</t>
  </si>
  <si>
    <t>Officer 53</t>
  </si>
  <si>
    <t>Officer 54</t>
  </si>
  <si>
    <t>Officer 55</t>
  </si>
  <si>
    <t>Officer 56</t>
  </si>
  <si>
    <t>Officer 57</t>
  </si>
  <si>
    <t>Officer 58</t>
  </si>
  <si>
    <t>Officer 59</t>
  </si>
  <si>
    <t>Officer 60</t>
  </si>
  <si>
    <t>Officer 61</t>
  </si>
  <si>
    <t>Officer 62</t>
  </si>
  <si>
    <t>Officer 63</t>
  </si>
  <si>
    <t>Officer 64</t>
  </si>
  <si>
    <t>Officer 65</t>
  </si>
  <si>
    <t>Officer 66</t>
  </si>
  <si>
    <t>Officer 67</t>
  </si>
  <si>
    <t>Officer 68</t>
  </si>
  <si>
    <t>Officer 69</t>
  </si>
  <si>
    <t>Officer 70</t>
  </si>
  <si>
    <t>Officer 71</t>
  </si>
  <si>
    <t>Officer 72</t>
  </si>
  <si>
    <t>Officer 73</t>
  </si>
  <si>
    <t>Officer 74</t>
  </si>
  <si>
    <t>Officer 75</t>
  </si>
  <si>
    <t>Officer 76</t>
  </si>
  <si>
    <t>Officer 77</t>
  </si>
  <si>
    <t>Officer 78</t>
  </si>
  <si>
    <t>Officer 79</t>
  </si>
  <si>
    <t>Officer 80</t>
  </si>
  <si>
    <t>Officer 81</t>
  </si>
  <si>
    <t>Officer 82</t>
  </si>
  <si>
    <t>Officer 83</t>
  </si>
  <si>
    <t>Officer 84</t>
  </si>
  <si>
    <t>Officer 85</t>
  </si>
  <si>
    <t>Officer 86</t>
  </si>
  <si>
    <t>Officer 87</t>
  </si>
  <si>
    <t>Officer 88</t>
  </si>
  <si>
    <t>Officer 89</t>
  </si>
  <si>
    <t>Officer 90</t>
  </si>
  <si>
    <t>Officer 91</t>
  </si>
  <si>
    <t>Officer 92</t>
  </si>
  <si>
    <t>Officer 93</t>
  </si>
  <si>
    <t>Officer 94</t>
  </si>
  <si>
    <t>Officer 95</t>
  </si>
  <si>
    <t>Officer 96</t>
  </si>
  <si>
    <t>Officer 97</t>
  </si>
  <si>
    <t>Officer 98</t>
  </si>
  <si>
    <t>Officer 99</t>
  </si>
  <si>
    <t>Muizz</t>
  </si>
  <si>
    <t>Project Scenerio</t>
  </si>
  <si>
    <t>Project Information</t>
  </si>
  <si>
    <t>Project Objectives</t>
  </si>
  <si>
    <t>Key Features</t>
  </si>
  <si>
    <t>Executive Dashboard</t>
  </si>
  <si>
    <t>Expected Outcomes</t>
  </si>
  <si>
    <t>Upon completion, this workbook provides:</t>
  </si>
  <si>
    <t>A mid-sized Nigerian fintech company offering digital wallets, virtual accounts, and domestic payment services is experiencing rapid customer growth. Customer onboarding is performed manually using multiple spreadsheets, resulting in inconsistent KYC reviews, delayed account activation, limited visibility into customer risk profiles, and difficulties demonstrating compliance during regulatory examinations.
To improve its AML/CFT compliance framework, the organization requires a standardized onboarding solution that implements a Risk-Based Approach (RBA) aligned with regulatory expectations. The solution should automate the Customer Identification Program (CIP), KYC verification, sanctions screening, PEP screening, adverse media screening, customer risk scoring, and Customer Due Diligence (CDD) tier assignment while providing management with real-time visibility into onboarding outcomes and customer risk exposure.</t>
  </si>
  <si>
    <t>Developed a comprehensive, Excel-based AML/CFT Customer Onboarding and Risk-Based Customer Due Diligence (CDD) Workflow that simulates the customer lifecycle from onboarding through risk classification. The solution integrates Customer Identification Program (CIP), Know Your Customer (KYC), Customer Due Diligence (CDD), sanctions screening, Politically Exposed Person (PEP) screening, adverse media screening, customer risk scoring, due diligence tier assignment, transaction monitoring inputs, and executive reporting into a structured, automated workflow.</t>
  </si>
  <si>
    <t>Standardize customer onboarding procedures.</t>
  </si>
  <si>
    <t>Implement a practical Customer Identification Program (CIP).</t>
  </si>
  <si>
    <t>Automate KYC verification and CDD workflows.</t>
  </si>
  <si>
    <t>Assign customer risk ratings using objective scoring criteria.</t>
  </si>
  <si>
    <t>Classify customers into Standard, Simplified, or Enhanced Due Diligence tiers.</t>
  </si>
  <si>
    <t>Integrate sanctions, PEP, and adverse media screening.</t>
  </si>
  <si>
    <t>Support AML/CFT monitoring and regulatory reporting.</t>
  </si>
  <si>
    <t>Provide management dashboards for customer risk oversight.</t>
  </si>
  <si>
    <t>Customer Register</t>
  </si>
  <si>
    <t>Customer Identification Program (CIP)</t>
  </si>
  <si>
    <t>KYC Verification</t>
  </si>
  <si>
    <t>Customer Risk Assessment Matrix</t>
  </si>
  <si>
    <t>Due Diligence Tier Assignment</t>
  </si>
  <si>
    <t>Sanctions Screening Register</t>
  </si>
  <si>
    <t>PEP Screening Register</t>
  </si>
  <si>
    <t>Adverse Media Screening Register</t>
  </si>
  <si>
    <t>Customer Onboarding Decision Workflow</t>
  </si>
  <si>
    <t>Automated scoring using XLOOKUP, IFS, LET, and structured references</t>
  </si>
  <si>
    <t>Standardized and streamlined customer onboarding process aligned with AML/CFT requirements.</t>
  </si>
  <si>
    <t>Improved consistency in Customer Identification Program (CIP), KYC, and Customer Due Diligence (CDD) procedures.</t>
  </si>
  <si>
    <t>Automated customer risk classification using a Risk-Based Approach (RBA).</t>
  </si>
  <si>
    <t>Accurate assignment of Simplified, Standard, or Enhanced Due Diligence (EDD) tiers.</t>
  </si>
  <si>
    <t>Enhanced detection of high-risk customers through sanctions, PEP, and adverse media screening.</t>
  </si>
  <si>
    <t>Reduced manual errors and improved efficiency through Excel automation.</t>
  </si>
  <si>
    <t>Increased audit readiness with centralized customer records and documented compliance activities.</t>
  </si>
  <si>
    <t>Executive visibility into customer risk profiles, onboarding decisions, and key AML/CFT compliance metrics through an interactive dashboard.</t>
  </si>
  <si>
    <t>AML/CFT Compliance
Customer Due Diligence (CDD)
Know Your Customer (KYC)
Customer Identification Program (CIP)
Risk-Based Approach (RBA)
Sanctions Screening
PEP Screening
Adverse Media Screening
Customer Risk Scoring
Excel Automation
Compliance Dashboard Development
Regulatory Reporting
Data Validation
Process Design</t>
  </si>
  <si>
    <t>Skills Demostrated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</si>
</sst>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b/>
      <sz val="11"/>
      <color theme="0"/>
      <name val="Calibri"/>
      <family val="2"/>
      <scheme val="minor"/>
    </font>
    <font>
      <sz val="8"/>
      <name val="Calibri"/>
      <family val="2"/>
      <scheme val="minor"/>
    </font>
    <font>
      <sz val="20"/>
      <color theme="0"/>
      <name val="Calibri"/>
      <family val="2"/>
      <scheme val="minor"/>
    </font>
    <font>
      <b/>
      <sz val="20"/>
      <color theme="0"/>
      <name val="Calibri"/>
      <family val="2"/>
      <scheme val="minor"/>
    </font>
    <font>
      <sz val="11"/>
      <color theme="0"/>
      <name val="Calibri"/>
      <family val="2"/>
      <scheme val="minor"/>
    </font>
    <font>
      <b/>
      <sz val="11"/>
      <color theme="0"/>
      <name val="Calibri"/>
      <family val="2"/>
    </font>
    <font>
      <b/>
      <sz val="11"/>
      <color theme="1"/>
      <name val="Calibri"/>
      <family val="2"/>
      <scheme val="minor"/>
    </font>
    <font>
      <b/>
      <sz val="14"/>
      <color theme="0"/>
      <name val="Times New Roman"/>
      <family val="1"/>
    </font>
  </fonts>
  <fills count="7">
    <fill>
      <patternFill patternType="none"/>
    </fill>
    <fill>
      <patternFill patternType="gray125"/>
    </fill>
    <fill>
      <patternFill patternType="solid">
        <fgColor theme="3" tint="-0.249977111117893"/>
        <bgColor indexed="64"/>
      </patternFill>
    </fill>
    <fill>
      <patternFill patternType="solid">
        <fgColor theme="3" tint="0.399975585192419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14" fontId="0" fillId="0" borderId="0" xfId="0" applyNumberFormat="1"/>
    <xf numFmtId="0" fontId="1" fillId="3" borderId="0" xfId="0" applyFont="1" applyFill="1"/>
    <xf numFmtId="0" fontId="1" fillId="3" borderId="0" xfId="0" applyFont="1" applyFill="1" applyAlignment="1">
      <alignment vertical="center"/>
    </xf>
    <xf numFmtId="0" fontId="1" fillId="4" borderId="0" xfId="0" applyFont="1" applyFill="1"/>
    <xf numFmtId="0" fontId="6" fillId="0" borderId="0" xfId="0" applyFont="1"/>
    <xf numFmtId="0" fontId="5" fillId="0" borderId="0" xfId="0" applyFont="1"/>
    <xf numFmtId="0" fontId="6" fillId="3" borderId="0" xfId="0" applyFont="1" applyFill="1"/>
    <xf numFmtId="0" fontId="8" fillId="5" borderId="0" xfId="0" applyFont="1" applyFill="1"/>
    <xf numFmtId="0" fontId="5" fillId="6" borderId="0" xfId="0" applyFont="1" applyFill="1"/>
    <xf numFmtId="0" fontId="0" fillId="0" borderId="0" xfId="0" applyAlignment="1">
      <alignment wrapText="1"/>
    </xf>
    <xf numFmtId="0" fontId="8" fillId="5" borderId="0" xfId="0" applyFont="1" applyFill="1" applyAlignment="1">
      <alignment horizontal="center"/>
    </xf>
    <xf numFmtId="0" fontId="5" fillId="5" borderId="0" xfId="0" applyFont="1" applyFill="1" applyAlignment="1">
      <alignment horizontal="center"/>
    </xf>
    <xf numFmtId="0" fontId="7" fillId="0" borderId="0" xfId="0" applyFont="1"/>
    <xf numFmtId="0" fontId="8" fillId="5" borderId="0" xfId="0" applyFont="1" applyFill="1" applyAlignment="1">
      <alignment horizontal="center"/>
    </xf>
    <xf numFmtId="0" fontId="5" fillId="5" borderId="0" xfId="0" applyFont="1" applyFill="1" applyAlignment="1">
      <alignment horizontal="center"/>
    </xf>
    <xf numFmtId="0" fontId="4" fillId="2"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29">
    <dxf>
      <numFmt numFmtId="0" formatCode="General"/>
    </dxf>
    <dxf>
      <numFmt numFmtId="0" formatCode="General"/>
    </dxf>
    <dxf>
      <numFmt numFmtId="19" formatCode="dd/mm/yyyy"/>
    </dxf>
    <dxf>
      <font>
        <b/>
        <i val="0"/>
        <strike val="0"/>
        <condense val="0"/>
        <extend val="0"/>
        <outline val="0"/>
        <shadow val="0"/>
        <u val="none"/>
        <vertAlign val="baseline"/>
        <sz val="11"/>
        <color theme="0"/>
        <name val="Calibri"/>
        <scheme val="none"/>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0" formatCode="General"/>
    </dxf>
    <dxf>
      <numFmt numFmtId="19" formatCode="dd/mm/yyyy"/>
    </dxf>
    <dxf>
      <numFmt numFmtId="19" formatCode="dd/mm/yyyy"/>
    </dxf>
    <dxf>
      <font>
        <b/>
        <i val="0"/>
        <strike val="0"/>
        <condense val="0"/>
        <extend val="0"/>
        <outline val="0"/>
        <shadow val="0"/>
        <u val="none"/>
        <vertAlign val="baseline"/>
        <sz val="11"/>
        <color theme="0"/>
        <name val="Calibri"/>
        <scheme val="none"/>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b/>
        <i val="0"/>
        <strike val="0"/>
        <condense val="0"/>
        <extend val="0"/>
        <outline val="0"/>
        <shadow val="0"/>
        <u val="none"/>
        <vertAlign val="baseline"/>
        <sz val="11"/>
        <color theme="0"/>
        <name val="Calibri"/>
        <family val="2"/>
        <scheme val="none"/>
      </font>
      <fill>
        <patternFill patternType="solid">
          <fgColor indexed="64"/>
          <bgColor theme="3" tint="0.39997558519241921"/>
        </patternFill>
      </fill>
    </dxf>
    <dxf>
      <numFmt numFmtId="0" formatCode="General"/>
    </dxf>
    <dxf>
      <font>
        <b/>
        <i val="0"/>
        <strike val="0"/>
        <condense val="0"/>
        <extend val="0"/>
        <outline val="0"/>
        <shadow val="0"/>
        <u val="none"/>
        <vertAlign val="baseline"/>
        <sz val="11"/>
        <color theme="0"/>
        <name val="Calibri"/>
        <family val="2"/>
        <scheme val="none"/>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Customer Risk Distribution</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NG"/>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929440389294405E-2"/>
          <c:y val="0.19762318840579712"/>
          <c:w val="0.92862935928629364"/>
          <c:h val="0.58860801095515236"/>
        </c:manualLayout>
      </c:layout>
      <c:pie3DChart>
        <c:varyColors val="1"/>
        <c:ser>
          <c:idx val="0"/>
          <c:order val="0"/>
          <c:tx>
            <c:strRef>
              <c:f>Dashboard!$B$8</c:f>
              <c:strCache>
                <c:ptCount val="1"/>
                <c:pt idx="0">
                  <c:v>Count</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009D-4A01-A6ED-6B33676A6441}"/>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009D-4A01-A6ED-6B33676A6441}"/>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009D-4A01-A6ED-6B33676A6441}"/>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5-009D-4A01-A6ED-6B33676A6441}"/>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NG"/>
                </a:p>
              </c:txPr>
              <c:dLblPos val="inEnd"/>
              <c:showLegendKey val="0"/>
              <c:showVal val="0"/>
              <c:showCatName val="1"/>
              <c:showSerName val="0"/>
              <c:showPercent val="0"/>
              <c:showBubbleSize val="0"/>
              <c:extLst>
                <c:ext xmlns:c16="http://schemas.microsoft.com/office/drawing/2014/chart" uri="{C3380CC4-5D6E-409C-BE32-E72D297353CC}">
                  <c16:uniqueId val="{00000002-009D-4A01-A6ED-6B33676A6441}"/>
                </c:ext>
              </c:extLst>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NG"/>
                </a:p>
              </c:txPr>
              <c:dLblPos val="inEnd"/>
              <c:showLegendKey val="0"/>
              <c:showVal val="0"/>
              <c:showCatName val="1"/>
              <c:showSerName val="0"/>
              <c:showPercent val="0"/>
              <c:showBubbleSize val="0"/>
              <c:extLst>
                <c:ext xmlns:c16="http://schemas.microsoft.com/office/drawing/2014/chart" uri="{C3380CC4-5D6E-409C-BE32-E72D297353CC}">
                  <c16:uniqueId val="{00000003-009D-4A01-A6ED-6B33676A6441}"/>
                </c:ext>
              </c:extLst>
            </c:dLbl>
            <c:dLbl>
              <c:idx val="2"/>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NG"/>
                </a:p>
              </c:txPr>
              <c:dLblPos val="inEnd"/>
              <c:showLegendKey val="0"/>
              <c:showVal val="0"/>
              <c:showCatName val="1"/>
              <c:showSerName val="0"/>
              <c:showPercent val="0"/>
              <c:showBubbleSize val="0"/>
              <c:extLst>
                <c:ext xmlns:c16="http://schemas.microsoft.com/office/drawing/2014/chart" uri="{C3380CC4-5D6E-409C-BE32-E72D297353CC}">
                  <c16:uniqueId val="{00000004-009D-4A01-A6ED-6B33676A6441}"/>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NG"/>
                </a:p>
              </c:txPr>
              <c:dLblPos val="inEnd"/>
              <c:showLegendKey val="0"/>
              <c:showVal val="0"/>
              <c:showCatName val="1"/>
              <c:showSerName val="0"/>
              <c:showPercent val="0"/>
              <c:showBubbleSize val="0"/>
              <c:extLst>
                <c:ext xmlns:c16="http://schemas.microsoft.com/office/drawing/2014/chart" uri="{C3380CC4-5D6E-409C-BE32-E72D297353CC}">
                  <c16:uniqueId val="{00000005-009D-4A01-A6ED-6B33676A6441}"/>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Dashboard!$A$9:$A$12</c:f>
              <c:strCache>
                <c:ptCount val="4"/>
                <c:pt idx="0">
                  <c:v>Low</c:v>
                </c:pt>
                <c:pt idx="1">
                  <c:v>Medium</c:v>
                </c:pt>
                <c:pt idx="2">
                  <c:v>High</c:v>
                </c:pt>
                <c:pt idx="3">
                  <c:v>Very High</c:v>
                </c:pt>
              </c:strCache>
            </c:strRef>
          </c:cat>
          <c:val>
            <c:numRef>
              <c:f>Dashboard!$B$9:$B$12</c:f>
              <c:numCache>
                <c:formatCode>General</c:formatCode>
                <c:ptCount val="4"/>
                <c:pt idx="0">
                  <c:v>42</c:v>
                </c:pt>
                <c:pt idx="1">
                  <c:v>53</c:v>
                </c:pt>
                <c:pt idx="2">
                  <c:v>5</c:v>
                </c:pt>
                <c:pt idx="3">
                  <c:v>0</c:v>
                </c:pt>
              </c:numCache>
            </c:numRef>
          </c:val>
          <c:extLst>
            <c:ext xmlns:c16="http://schemas.microsoft.com/office/drawing/2014/chart" uri="{C3380CC4-5D6E-409C-BE32-E72D297353CC}">
              <c16:uniqueId val="{00000000-009D-4A01-A6ED-6B33676A6441}"/>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Due Diligence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0.36441874453193351"/>
          <c:y val="0.23452145214521455"/>
          <c:w val="0.27116278433945756"/>
          <c:h val="0.51547776824926583"/>
        </c:manualLayout>
      </c:layout>
      <c:doughnutChart>
        <c:varyColors val="1"/>
        <c:ser>
          <c:idx val="0"/>
          <c:order val="0"/>
          <c:tx>
            <c:strRef>
              <c:f>Dashboard!$J$8</c:f>
              <c:strCache>
                <c:ptCount val="1"/>
                <c:pt idx="0">
                  <c:v>Count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71-484F-9B92-93E24353022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71-484F-9B92-93E24353022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171-484F-9B92-93E2435302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Dashboard!$I$9:$I$11</c:f>
              <c:strCache>
                <c:ptCount val="3"/>
                <c:pt idx="0">
                  <c:v>SDD</c:v>
                </c:pt>
                <c:pt idx="1">
                  <c:v>CDD</c:v>
                </c:pt>
                <c:pt idx="2">
                  <c:v>EDD</c:v>
                </c:pt>
              </c:strCache>
            </c:strRef>
          </c:cat>
          <c:val>
            <c:numRef>
              <c:f>Dashboard!$J$9:$J$11</c:f>
              <c:numCache>
                <c:formatCode>General</c:formatCode>
                <c:ptCount val="3"/>
                <c:pt idx="0">
                  <c:v>37</c:v>
                </c:pt>
                <c:pt idx="1">
                  <c:v>43</c:v>
                </c:pt>
                <c:pt idx="2">
                  <c:v>20</c:v>
                </c:pt>
              </c:numCache>
            </c:numRef>
          </c:val>
          <c:extLst>
            <c:ext xmlns:c16="http://schemas.microsoft.com/office/drawing/2014/chart" uri="{C3380CC4-5D6E-409C-BE32-E72D297353CC}">
              <c16:uniqueId val="{00000000-FFFC-4808-B90C-501320EB4E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Screening Results</a:t>
            </a:r>
          </a:p>
        </c:rich>
      </c:tx>
      <c:layout>
        <c:manualLayout>
          <c:xMode val="edge"/>
          <c:yMode val="edge"/>
          <c:x val="0.28221164119190983"/>
          <c:y val="3.738317757009345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Dashboard!$B$20</c:f>
              <c:strCache>
                <c:ptCount val="1"/>
                <c:pt idx="0">
                  <c:v>Count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Dashboard!$A$21:$A$24</c:f>
              <c:strCache>
                <c:ptCount val="4"/>
                <c:pt idx="0">
                  <c:v>Cleared</c:v>
                </c:pt>
                <c:pt idx="1">
                  <c:v>Review</c:v>
                </c:pt>
                <c:pt idx="2">
                  <c:v>EDD Review</c:v>
                </c:pt>
                <c:pt idx="3">
                  <c:v>Reject</c:v>
                </c:pt>
              </c:strCache>
            </c:strRef>
          </c:cat>
          <c:val>
            <c:numRef>
              <c:f>Dashboard!$B$21:$B$24</c:f>
              <c:numCache>
                <c:formatCode>General</c:formatCode>
                <c:ptCount val="4"/>
                <c:pt idx="0">
                  <c:v>48</c:v>
                </c:pt>
                <c:pt idx="1">
                  <c:v>39</c:v>
                </c:pt>
                <c:pt idx="2">
                  <c:v>6</c:v>
                </c:pt>
                <c:pt idx="3">
                  <c:v>7</c:v>
                </c:pt>
              </c:numCache>
            </c:numRef>
          </c:val>
          <c:extLst>
            <c:ext xmlns:c16="http://schemas.microsoft.com/office/drawing/2014/chart" uri="{C3380CC4-5D6E-409C-BE32-E72D297353CC}">
              <c16:uniqueId val="{00000000-CDCC-4D5B-AD68-EA9894DA9899}"/>
            </c:ext>
          </c:extLst>
        </c:ser>
        <c:dLbls>
          <c:dLblPos val="inEnd"/>
          <c:showLegendKey val="0"/>
          <c:showVal val="1"/>
          <c:showCatName val="0"/>
          <c:showSerName val="0"/>
          <c:showPercent val="0"/>
          <c:showBubbleSize val="0"/>
        </c:dLbls>
        <c:gapWidth val="355"/>
        <c:overlap val="-70"/>
        <c:axId val="1589831887"/>
        <c:axId val="1589828143"/>
      </c:barChart>
      <c:catAx>
        <c:axId val="158983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9828143"/>
        <c:crosses val="autoZero"/>
        <c:auto val="1"/>
        <c:lblAlgn val="ctr"/>
        <c:lblOffset val="100"/>
        <c:noMultiLvlLbl val="0"/>
      </c:catAx>
      <c:valAx>
        <c:axId val="158982814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98318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Transaction Alerts</a:t>
            </a:r>
          </a:p>
        </c:rich>
      </c:tx>
      <c:layout>
        <c:manualLayout>
          <c:xMode val="edge"/>
          <c:yMode val="edge"/>
          <c:x val="0.25324631710314716"/>
          <c:y val="3.603603603603603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Dashboard!$J$20</c:f>
              <c:strCache>
                <c:ptCount val="1"/>
                <c:pt idx="0">
                  <c:v>Count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Dashboard!$I$21:$I$23</c:f>
              <c:strCache>
                <c:ptCount val="3"/>
                <c:pt idx="0">
                  <c:v>Normal</c:v>
                </c:pt>
                <c:pt idx="1">
                  <c:v>Alert</c:v>
                </c:pt>
                <c:pt idx="2">
                  <c:v>Critical</c:v>
                </c:pt>
              </c:strCache>
            </c:strRef>
          </c:cat>
          <c:val>
            <c:numRef>
              <c:f>Dashboard!$J$21:$J$23</c:f>
              <c:numCache>
                <c:formatCode>General</c:formatCode>
                <c:ptCount val="3"/>
                <c:pt idx="0">
                  <c:v>80</c:v>
                </c:pt>
                <c:pt idx="1">
                  <c:v>20</c:v>
                </c:pt>
                <c:pt idx="2">
                  <c:v>0</c:v>
                </c:pt>
              </c:numCache>
            </c:numRef>
          </c:val>
          <c:extLst>
            <c:ext xmlns:c16="http://schemas.microsoft.com/office/drawing/2014/chart" uri="{C3380CC4-5D6E-409C-BE32-E72D297353CC}">
              <c16:uniqueId val="{00000000-039A-4A2B-9865-E6EE2D06E906}"/>
            </c:ext>
          </c:extLst>
        </c:ser>
        <c:dLbls>
          <c:dLblPos val="inEnd"/>
          <c:showLegendKey val="0"/>
          <c:showVal val="1"/>
          <c:showCatName val="0"/>
          <c:showSerName val="0"/>
          <c:showPercent val="0"/>
          <c:showBubbleSize val="0"/>
        </c:dLbls>
        <c:gapWidth val="355"/>
        <c:overlap val="-70"/>
        <c:axId val="1806638319"/>
        <c:axId val="1806637903"/>
      </c:barChart>
      <c:catAx>
        <c:axId val="180663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06637903"/>
        <c:crosses val="autoZero"/>
        <c:auto val="1"/>
        <c:lblAlgn val="ctr"/>
        <c:lblOffset val="100"/>
        <c:noMultiLvlLbl val="0"/>
      </c:catAx>
      <c:valAx>
        <c:axId val="180663790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0663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MLRO DECISIONS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Dashboard!$B$36</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31-4D49-87A2-46589AF5B4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31-4D49-87A2-46589AF5B4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31-4D49-87A2-46589AF5B4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31-4D49-87A2-46589AF5B462}"/>
              </c:ext>
            </c:extLst>
          </c:dPt>
          <c:cat>
            <c:strRef>
              <c:f>Dashboard!$A$37:$A$40</c:f>
              <c:strCache>
                <c:ptCount val="4"/>
                <c:pt idx="0">
                  <c:v>Approved</c:v>
                </c:pt>
                <c:pt idx="1">
                  <c:v>Rejected</c:v>
                </c:pt>
                <c:pt idx="2">
                  <c:v>Escalated</c:v>
                </c:pt>
                <c:pt idx="3">
                  <c:v>Pending</c:v>
                </c:pt>
              </c:strCache>
            </c:strRef>
          </c:cat>
          <c:val>
            <c:numRef>
              <c:f>Dashboard!$B$37:$B$40</c:f>
              <c:numCache>
                <c:formatCode>General</c:formatCode>
                <c:ptCount val="4"/>
                <c:pt idx="0">
                  <c:v>80</c:v>
                </c:pt>
                <c:pt idx="1">
                  <c:v>7</c:v>
                </c:pt>
                <c:pt idx="2">
                  <c:v>13</c:v>
                </c:pt>
                <c:pt idx="3">
                  <c:v>0</c:v>
                </c:pt>
              </c:numCache>
            </c:numRef>
          </c:val>
          <c:extLst>
            <c:ext xmlns:c16="http://schemas.microsoft.com/office/drawing/2014/chart" uri="{C3380CC4-5D6E-409C-BE32-E72D297353CC}">
              <c16:uniqueId val="{00000000-2D7F-4446-9961-172977E1D94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152401</xdr:colOff>
      <xdr:row>4</xdr:row>
      <xdr:rowOff>104775</xdr:rowOff>
    </xdr:from>
    <xdr:to>
      <xdr:col>7</xdr:col>
      <xdr:colOff>481853</xdr:colOff>
      <xdr:row>16</xdr:row>
      <xdr:rowOff>56030</xdr:rowOff>
    </xdr:to>
    <xdr:graphicFrame macro="">
      <xdr:nvGraphicFramePr>
        <xdr:cNvPr id="2" name="Chart 1">
          <a:extLst>
            <a:ext uri="{FF2B5EF4-FFF2-40B4-BE49-F238E27FC236}">
              <a16:creationId xmlns:a16="http://schemas.microsoft.com/office/drawing/2014/main" id="{26AD86C7-2C5E-4AD1-A3A9-05188419B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104775</xdr:colOff>
      <xdr:row>4</xdr:row>
      <xdr:rowOff>95250</xdr:rowOff>
    </xdr:from>
    <xdr:to>
      <xdr:col>18</xdr:col>
      <xdr:colOff>168088</xdr:colOff>
      <xdr:row>16</xdr:row>
      <xdr:rowOff>56030</xdr:rowOff>
    </xdr:to>
    <xdr:graphicFrame macro="">
      <xdr:nvGraphicFramePr>
        <xdr:cNvPr id="3" name="Chart 2">
          <a:extLst>
            <a:ext uri="{FF2B5EF4-FFF2-40B4-BE49-F238E27FC236}">
              <a16:creationId xmlns:a16="http://schemas.microsoft.com/office/drawing/2014/main" id="{1359991E-703A-4225-BEF2-499FFFC73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154081</xdr:colOff>
      <xdr:row>18</xdr:row>
      <xdr:rowOff>168087</xdr:rowOff>
    </xdr:from>
    <xdr:to>
      <xdr:col>7</xdr:col>
      <xdr:colOff>504263</xdr:colOff>
      <xdr:row>30</xdr:row>
      <xdr:rowOff>134471</xdr:rowOff>
    </xdr:to>
    <xdr:graphicFrame macro="">
      <xdr:nvGraphicFramePr>
        <xdr:cNvPr id="4" name="Chart 3">
          <a:extLst>
            <a:ext uri="{FF2B5EF4-FFF2-40B4-BE49-F238E27FC236}">
              <a16:creationId xmlns:a16="http://schemas.microsoft.com/office/drawing/2014/main" id="{07EB2C65-DCB3-4FF2-8DB7-14649FB13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104775</xdr:colOff>
      <xdr:row>18</xdr:row>
      <xdr:rowOff>172009</xdr:rowOff>
    </xdr:from>
    <xdr:to>
      <xdr:col>18</xdr:col>
      <xdr:colOff>168088</xdr:colOff>
      <xdr:row>30</xdr:row>
      <xdr:rowOff>179294</xdr:rowOff>
    </xdr:to>
    <xdr:graphicFrame macro="">
      <xdr:nvGraphicFramePr>
        <xdr:cNvPr id="5" name="Chart 4">
          <a:extLst>
            <a:ext uri="{FF2B5EF4-FFF2-40B4-BE49-F238E27FC236}">
              <a16:creationId xmlns:a16="http://schemas.microsoft.com/office/drawing/2014/main" id="{6F7C3165-D07F-4E41-8263-2B6B93E7F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252132</xdr:colOff>
      <xdr:row>32</xdr:row>
      <xdr:rowOff>156883</xdr:rowOff>
    </xdr:from>
    <xdr:to>
      <xdr:col>7</xdr:col>
      <xdr:colOff>560294</xdr:colOff>
      <xdr:row>45</xdr:row>
      <xdr:rowOff>150159</xdr:rowOff>
    </xdr:to>
    <xdr:graphicFrame macro="">
      <xdr:nvGraphicFramePr>
        <xdr:cNvPr id="6" name="Chart 5">
          <a:extLst>
            <a:ext uri="{FF2B5EF4-FFF2-40B4-BE49-F238E27FC236}">
              <a16:creationId xmlns:a16="http://schemas.microsoft.com/office/drawing/2014/main" id="{76C7F5E0-1D54-48B8-A9CE-0D1FBC068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ransaction%20Monitor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action Monitoring"/>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ustomers" displayName="tblCustomers" ref="A1:J101">
  <autoFilter ref="A1:J101" xr:uid="{00000000-0009-0000-0100-000001000000}"/>
  <tableColumns count="10">
    <tableColumn id="1" xr3:uid="{00000000-0010-0000-0000-000001000000}" name="Customer ID"/>
    <tableColumn id="2" xr3:uid="{00000000-0010-0000-0000-000002000000}" name="Full Name"/>
    <tableColumn id="3" xr3:uid="{00000000-0010-0000-0000-000003000000}" name="Customer Type"/>
    <tableColumn id="4" xr3:uid="{00000000-0010-0000-0000-000004000000}" name="Nationality"/>
    <tableColumn id="5" xr3:uid="{00000000-0010-0000-0000-000005000000}" name="Country"/>
    <tableColumn id="6" xr3:uid="{00000000-0010-0000-0000-000006000000}" name="Occupation/Industry"/>
    <tableColumn id="7" xr3:uid="{00000000-0010-0000-0000-000007000000}" name="Annual Income (USD)"/>
    <tableColumn id="8" xr3:uid="{00000000-0010-0000-0000-000008000000}" name="Product Requested"/>
    <tableColumn id="9" xr3:uid="{00000000-0010-0000-0000-000009000000}" name="Delivery Channel"/>
    <tableColumn id="10" xr3:uid="{00000000-0010-0000-0000-00000A000000}" name="Account Purpo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IP" displayName="tblCIP" ref="A1:K101">
  <autoFilter ref="A1:K101" xr:uid="{00000000-0009-0000-0100-000002000000}"/>
  <tableColumns count="11">
    <tableColumn id="1" xr3:uid="{00000000-0010-0000-0100-000001000000}" name="Customer ID"/>
    <tableColumn id="2" xr3:uid="{00000000-0010-0000-0100-000002000000}" name="ID Type"/>
    <tableColumn id="3" xr3:uid="{00000000-0010-0000-0100-000003000000}" name="ID Number"/>
    <tableColumn id="4" xr3:uid="{00000000-0010-0000-0100-000004000000}" name="ID Valid"/>
    <tableColumn id="5" xr3:uid="{00000000-0010-0000-0100-000005000000}" name="Address Verified"/>
    <tableColumn id="6" xr3:uid="{00000000-0010-0000-0100-000006000000}" name="Phone Verified"/>
    <tableColumn id="7" xr3:uid="{00000000-0010-0000-0100-000007000000}" name="Email Verified"/>
    <tableColumn id="8" xr3:uid="{00000000-0010-0000-0100-000008000000}" name="Biometric Verified"/>
    <tableColumn id="9" xr3:uid="{00000000-0010-0000-0100-000009000000}" name="Verification Officer"/>
    <tableColumn id="10" xr3:uid="{00000000-0010-0000-0100-00000A000000}" name="Verification Date"/>
    <tableColumn id="11" xr3:uid="{00000000-0010-0000-0100-00000B000000}" name="CIP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0B6FA55-788B-4245-9EF7-2611752BCAE9}" name="tblScreening" displayName="tblScreening" ref="A1:H101">
  <autoFilter ref="A1:H101" xr:uid="{40B6FA55-788B-4245-9EF7-2611752BCAE9}"/>
  <tableColumns count="8">
    <tableColumn id="1" xr3:uid="{92285BF9-29AF-4BB7-9A67-75311E974667}" name="Customer ID"/>
    <tableColumn id="2" xr3:uid="{D0058CBC-D855-4262-98E0-3A0B62A55EE1}" name="PEP"/>
    <tableColumn id="3" xr3:uid="{02B9204F-F622-4E3A-87B0-81E3F7275657}" name="PEP Type"/>
    <tableColumn id="4" xr3:uid="{F268D85E-367C-4915-BCED-FF1A81EAFE69}" name="Sanction Match"/>
    <tableColumn id="5" xr3:uid="{DCE90CB9-C924-4414-9CB0-DAF563652DDE}" name="Watchlist"/>
    <tableColumn id="6" xr3:uid="{50C44CBE-EC9C-49EB-86AA-F2C577378720}" name="Adverse Media"/>
    <tableColumn id="7" xr3:uid="{9A8E59B1-0654-4FC2-91AF-B339F3206741}" name="Source of Wealth Obtained"/>
    <tableColumn id="8" xr3:uid="{92B566B3-3A77-48DA-B431-B9A64562E173}" name="Screening Resul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E7643D0-CCA9-461C-BDA6-FC1C57633998}" name="RiskMatrix" displayName="RiskMatrix" ref="A1:U101" totalsRowShown="0" headerRowDxfId="22">
  <autoFilter ref="A1:U101" xr:uid="{3E7643D0-CCA9-461C-BDA6-FC1C57633998}"/>
  <tableColumns count="21">
    <tableColumn id="1" xr3:uid="{89B667FC-EA71-4419-83ED-E3DB4AB6D15E}" name="Customer ID"/>
    <tableColumn id="2" xr3:uid="{9538300D-5118-41DC-BAEA-C2759A8B6CAF}" name="Customer Type">
      <calculatedColumnFormula>IFERROR(_xlfn.XLOOKUP($A2,tblCustomers[Customer ID],tblCustomers[Customer Type]),"")</calculatedColumnFormula>
    </tableColumn>
    <tableColumn id="3" xr3:uid="{C6DA8C89-4D7D-458E-AA67-BD1F01C1471F}" name="Country">
      <calculatedColumnFormula>IFERROR(_xlfn.XLOOKUP($A2,tblCustomers[Customer ID],tblCustomers[Country]),"")</calculatedColumnFormula>
    </tableColumn>
    <tableColumn id="4" xr3:uid="{CD1F4591-CABD-4118-9DCA-DA201D076EE4}" name="Occupation">
      <calculatedColumnFormula>IFERROR(_xlfn.XLOOKUP($A2,tblCustomers[Customer ID],tblCustomers[Occupation/Industry]),"")</calculatedColumnFormula>
    </tableColumn>
    <tableColumn id="5" xr3:uid="{014E2BBA-6F72-4CC2-B0A1-FFD007058791}" name="Product">
      <calculatedColumnFormula>IFERROR(_xlfn.XLOOKUP($A2,tblCustomers[Customer ID],tblCustomers[Product Requested]),"")</calculatedColumnFormula>
    </tableColumn>
    <tableColumn id="6" xr3:uid="{807EEC36-01F0-4EAA-8E63-2CB005E5BA08}" name="Delivery Channel">
      <calculatedColumnFormula>IFERROR(_xlfn.XLOOKUP($A2,tblCustomers[Customer ID],tblCustomers[Delivery Channel]),"")</calculatedColumnFormula>
    </tableColumn>
    <tableColumn id="7" xr3:uid="{4068A9D2-4808-47E1-B6E7-9C88C27281B0}" name="Screening Result">
      <calculatedColumnFormula>IFERROR(_xlfn.XLOOKUP($A2,tblScreening[Customer ID],tblScreening[Screening Result]),"")</calculatedColumnFormula>
    </tableColumn>
    <tableColumn id="8" xr3:uid="{9796E7BC-9629-4F2F-977D-8C3238E85610}" name="Customer Type Score">
      <calculatedColumnFormula>IFERROR(_xlfn.XLOOKUP(B2,tblCustomerType[Customer Type],tblCustomerType[Risk Score]),0)</calculatedColumnFormula>
    </tableColumn>
    <tableColumn id="9" xr3:uid="{DB32F244-DFC3-465D-86A8-03523684999F}" name="Country Score">
      <calculatedColumnFormula>IFERROR(_xlfn.XLOOKUP(C2,tblCountryRisk[Country],tblCountryRisk[Risk Score]),0)</calculatedColumnFormula>
    </tableColumn>
    <tableColumn id="10" xr3:uid="{F5424167-6F3E-496E-9DE3-5F4E708748E4}" name="Occupation Score">
      <calculatedColumnFormula>IFERROR(_xlfn.XLOOKUP(D2,tblOccupationRisk[Occupation],tblOccupationRisk[Risk Score]),0)</calculatedColumnFormula>
    </tableColumn>
    <tableColumn id="11" xr3:uid="{74B9F8C4-7EF4-4B11-BB09-A661C0871BFA}" name="Product Score">
      <calculatedColumnFormula>IFERROR(_xlfn.XLOOKUP(E2,tblProductRisk[Product],tblProductRisk[Risk Score]),0)</calculatedColumnFormula>
    </tableColumn>
    <tableColumn id="12" xr3:uid="{685DFC1D-2B88-484E-B856-D6560D9096D3}" name="Channel Score">
      <calculatedColumnFormula>IFERROR(_xlfn.XLOOKUP(F2,tblChannelRisk[Channel],tblChannelRisk[Risk Score]),0)</calculatedColumnFormula>
    </tableColumn>
    <tableColumn id="13" xr3:uid="{14A44DD0-FADE-486A-AF0D-067091A2F209}" name="Screening Score">
      <calculatedColumnFormula>IFERROR(_xlfn.XLOOKUP(G2,tblScreeningRisk[Screening Result],tblScreeningRisk[Risk Score]),0)</calculatedColumnFormula>
    </tableColumn>
    <tableColumn id="14" xr3:uid="{C339D31E-1CC8-49C2-99F0-5F9E7A99BAA5}" name="Behaviour Score" dataDxfId="21">
      <calculatedColumnFormula>IFERROR(
_xlfn.MAXIFS(
'[1]Transaction Monitoring'!Q:Q,
'[1]Transaction Monitoring'!B:B,
A2
),
1
)</calculatedColumnFormula>
    </tableColumn>
    <tableColumn id="15" xr3:uid="{1A12F32D-A5EB-4360-9E82-AC17C16DA137}" name="Total Score">
      <calculatedColumnFormula>SUM(H2:N2)</calculatedColumnFormula>
    </tableColumn>
    <tableColumn id="16" xr3:uid="{B5719E99-410E-4F4D-A9B8-03BB157023B7}" name="Risk Rating">
      <calculatedColumnFormula array="1">_xlfn.IFS(
O2&lt;=12,"Low",
O2&lt;=20,"Medium",
O2&lt;=30,"High",
TRUE,"Very High"
)</calculatedColumnFormula>
    </tableColumn>
    <tableColumn id="17" xr3:uid="{4F8905BB-21B4-45F6-A921-6ABE6F732BD2}" name="Due Diligence Tier">
      <calculatedColumnFormula array="1">_xlfn.IFS(
G2="Reject","EDD",
R2="Potential Match","EDD",
G2="EDD Review","EDD",
AND(S2="Yes",I2&gt;=4),"EDD",
T2="No","EDD",
TRUE,
_xlfn.XLOOKUP(
P2,
tblDueDiligence[Risk Rating],
tblDueDiligence[Due Diligence]
)
)</calculatedColumnFormula>
    </tableColumn>
    <tableColumn id="19" xr3:uid="{14C0C478-14EF-4824-9CEE-87B5335B7538}" name="Sanction Match">
      <calculatedColumnFormula>IFERROR(
_xlfn.XLOOKUP($A2,
tblScreening[Customer ID],
tblScreening[Sanction Match]),
"")</calculatedColumnFormula>
    </tableColumn>
    <tableColumn id="20" xr3:uid="{65EAC827-75A8-4C05-966B-30A34CD0CDD4}" name="PEP Status">
      <calculatedColumnFormula>IFERROR(
_xlfn.XLOOKUP($A2,
tblScreening[Customer ID],
tblScreening[PEP]),
"")</calculatedColumnFormula>
    </tableColumn>
    <tableColumn id="21" xr3:uid="{CF787B15-3520-4AE7-BA5F-3C5363636D5F}" name="Source of Wealth">
      <calculatedColumnFormula>IFERROR(
_xlfn.XLOOKUP($A2,
tblScreening[Customer ID],
tblScreening[Source of Wealth Obtained]),
"")</calculatedColumnFormula>
    </tableColumn>
    <tableColumn id="22" xr3:uid="{A37D1C68-4E97-4406-92A4-DE75E647FA15}" name="Override Trigger">
      <calculatedColumnFormula array="1">_xlfn.IFS(
G2="Reject","Screening Rejected",
R2="Potential Match","Potential Sanctions Match",
AND(S2="Yes",I2&gt;=4),"PEP in High-Risk Country",
T2="No","Missing Source of Wealth",
G2="EDD Review","EDD Review Required",
TRUE,"None"
)</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311F59C-04D5-48E3-8D8F-61FFF1B49A27}" name="Table9" displayName="Table9" ref="V1:V101" totalsRowShown="0" headerRowDxfId="20">
  <autoFilter ref="V1:V101" xr:uid="{D311F59C-04D5-48E3-8D8F-61FFF1B49A27}"/>
  <tableColumns count="1">
    <tableColumn id="1" xr3:uid="{2E69AD04-DBD4-401B-880F-F0F0D7FFAA79}" name="Compliance Decision">
      <calculatedColumnFormula array="1">_xlfn.IFS(
G2="Reject","Reject",
R2="Potential Match","Reject",
G2="EDD Review","Escalate",
AND(S2="Yes",I2&gt;=4),"Escalate",
T2="No","Escalate",
TRUE,
_xlfn.XLOOKUP(
Q2,
tblDecision[Due Diligence],
tblDecision[Decision]
)
)</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2EF8FD-D6B7-48E4-A60F-70A8933AE67B}" name="DueDiligenceRegister" displayName="DueDiligenceRegister" ref="A1:O101" totalsRowShown="0" headerRowDxfId="12">
  <autoFilter ref="A1:O101" xr:uid="{812EF8FD-D6B7-48E4-A60F-70A8933AE67B}"/>
  <tableColumns count="15">
    <tableColumn id="1" xr3:uid="{7E9AE8D3-668A-4CB4-BBA7-DB78AAD2F708}" name="Customer ID"/>
    <tableColumn id="2" xr3:uid="{BAA1DC0B-835B-4CA4-8CC1-ADABE10646DB}" name="Customer Name">
      <calculatedColumnFormula>IFERROR(
_xlfn.XLOOKUP(
A2,
tblCustomers[Customer ID],
tblCustomers[Full Name]
),
""
)</calculatedColumnFormula>
    </tableColumn>
    <tableColumn id="3" xr3:uid="{01279052-F6A6-4217-97FD-BAF2A1A0C94F}" name="Risk Rating">
      <calculatedColumnFormula>IFERROR(
_xlfn.XLOOKUP(
A2,
RiskMatrix[Customer ID],
RiskMatrix[Risk Rating]
),
""
)</calculatedColumnFormula>
    </tableColumn>
    <tableColumn id="4" xr3:uid="{D482E757-8E64-47BE-A575-4A7B36BC5ED8}" name="Due Diligence Tier">
      <calculatedColumnFormula>IFERROR(
_xlfn.XLOOKUP(
A2,
RiskMatrix[Customer ID],
RiskMatrix[Due Diligence Tier]
),
""
)</calculatedColumnFormula>
    </tableColumn>
    <tableColumn id="5" xr3:uid="{BEB79867-D137-4811-AF57-80F659A80F87}" name="Compliance Decision">
      <calculatedColumnFormula>IFERROR(
_xlfn.XLOOKUP(
A2,
RiskMatrix[Customer ID],#REF!
),
""
)</calculatedColumnFormula>
    </tableColumn>
    <tableColumn id="6" xr3:uid="{A66C73E9-0EF2-4F77-9B82-509A03BD202E}" name="Assigned Analyst"/>
    <tableColumn id="7" xr3:uid="{94F9A3F9-3193-4657-A385-E837B949D616}" name="Review Status"/>
    <tableColumn id="8" xr3:uid="{59F7D1FA-9E8B-4C85-B15A-98795C84E79B}" name="Date Assigned" dataDxfId="11">
      <calculatedColumnFormula>IF(
F2&lt;&gt;"",
TODAY(),
""
)</calculatedColumnFormula>
    </tableColumn>
    <tableColumn id="9" xr3:uid="{4CB8EFAF-F771-4D68-8F15-908F22BC0814}" name="Date Completed" dataDxfId="10"/>
    <tableColumn id="10" xr3:uid="{9268EF2C-3587-45CF-BBAB-44B54617BA84}" name="Outstanding Documents">
      <calculatedColumnFormula>_xlfn.LET(
_xlpm.AddressStatus,IFERROR(_xlfn.XLOOKUP(A2,tblCIP[Customer ID],tblCIP[Address Verified]),""),
_xlpm.SOWStatus,IFERROR(_xlfn.XLOOKUP(A2,tblScreening[Customer ID],tblScreening[Source of Wealth Obtained]),""),
IF(
AND(_xlpm.AddressStatus="Yes",_xlpm.SOWStatus="Yes"),
"None",
_xlfn.TEXTJOIN("; ",TRUE,
IF(_xlpm.AddressStatus="No","Proof of Address",""),
IF(_xlpm.SOWStatus="No","Source of Wealth","")
)
)
)</calculatedColumnFormula>
    </tableColumn>
    <tableColumn id="11" xr3:uid="{E0290756-91AF-4E4C-A7BB-6C4F58A3F908}" name="Findings"/>
    <tableColumn id="12" xr3:uid="{856F77CA-1DDA-47D9-8704-80250749E5EF}" name="MLRO Approval"/>
    <tableColumn id="13" xr3:uid="{B1A7229C-100B-4DE1-A6CB-47B95B2C3529}" name="Final Decision">
      <calculatedColumnFormula>_xlfn.IFS(L2="Approved","Approved",L2="Declined","Rejected",L2="Further Review","Escalated",TRUE,"Pending")</calculatedColumnFormula>
    </tableColumn>
    <tableColumn id="14" xr3:uid="{652D5A65-B684-4D68-9FB4-4D1FBB0298BF}" name="Account Status">
      <calculatedColumnFormula array="1">_xlfn.IFS(
M2="Approved","Open Account",
M2="Rejected","Do Not Onboard",
M2="Escalated","Pending Review",
TRUE,"Awaiting Decision"
)</calculatedColumnFormula>
    </tableColumn>
    <tableColumn id="15" xr3:uid="{887474BD-CB7B-48EB-AEF6-1F8C8DFEA857}" name="Review Note" dataDxfId="9">
      <calculatedColumnFormula array="1">_xlfn.IFS(
N2="Open Account","Customer approved and account opened.",
M2="Approved","Approved by MLRO. Awaiting account activation.",
M2="Rejected","Customer rejected after compliance review.",
M2="Escalated","Escalated for enhanced due diligence.",
G2="Awaiting Customer","Awaiting additional customer documentation.",
G2="In Progress","Compliance review currently in progress.",
G2="Completed","Compliance review completed. Awaiting MLRO decision.",
TRUE,"Case created and pending analyst review."
)</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A02B5A5-FAF2-4353-8347-73BDB7514664}" name="TransactionMonitoring" displayName="TransactionMonitoring" ref="A1:P101" totalsRowShown="0" headerRowDxfId="3">
  <autoFilter ref="A1:P101" xr:uid="{EA02B5A5-FAF2-4353-8347-73BDB7514664}">
    <filterColumn colId="0">
      <filters>
        <filter val="C0001"/>
        <filter val="C0002"/>
        <filter val="C0003"/>
        <filter val="C0004"/>
        <filter val="C0005"/>
        <filter val="C0006"/>
        <filter val="C0007"/>
        <filter val="C0008"/>
        <filter val="C0009"/>
        <filter val="C0010"/>
        <filter val="C0011"/>
        <filter val="C0012"/>
        <filter val="C0013"/>
        <filter val="C0014"/>
        <filter val="C0015"/>
        <filter val="C0016"/>
        <filter val="C0017"/>
        <filter val="C0019"/>
        <filter val="C0020"/>
        <filter val="C0021"/>
        <filter val="C0024"/>
        <filter val="C0025"/>
        <filter val="C0026"/>
        <filter val="C0027"/>
        <filter val="C0028"/>
        <filter val="C0029"/>
        <filter val="C0031"/>
        <filter val="C0032"/>
        <filter val="C0033"/>
        <filter val="C0034"/>
        <filter val="C0035"/>
        <filter val="C0037"/>
        <filter val="C0039"/>
        <filter val="C0040"/>
        <filter val="C0043"/>
        <filter val="C0044"/>
        <filter val="C0045"/>
        <filter val="C0046"/>
        <filter val="C0047"/>
        <filter val="C0048"/>
        <filter val="C0049"/>
        <filter val="C0050"/>
        <filter val="C0052"/>
        <filter val="C0053"/>
        <filter val="C0054"/>
        <filter val="C0055"/>
        <filter val="C0058"/>
        <filter val="C0060"/>
        <filter val="C0061"/>
        <filter val="C0062"/>
        <filter val="C0063"/>
        <filter val="C0064"/>
        <filter val="C0065"/>
        <filter val="C0067"/>
        <filter val="C0068"/>
        <filter val="C0070"/>
        <filter val="C0071"/>
        <filter val="C0073"/>
        <filter val="C0074"/>
        <filter val="C0075"/>
        <filter val="C0076"/>
        <filter val="C0077"/>
        <filter val="C0078"/>
        <filter val="C0079"/>
        <filter val="C0080"/>
        <filter val="C0081"/>
        <filter val="C0084"/>
        <filter val="C0085"/>
        <filter val="C0086"/>
        <filter val="C0087"/>
        <filter val="C0088"/>
        <filter val="C0089"/>
        <filter val="C0090"/>
        <filter val="C0091"/>
        <filter val="C0092"/>
        <filter val="C0094"/>
        <filter val="C0095"/>
        <filter val="C0096"/>
        <filter val="C0099"/>
        <filter val="C0100"/>
      </filters>
    </filterColumn>
  </autoFilter>
  <tableColumns count="16">
    <tableColumn id="2" xr3:uid="{0C09DEF6-4B83-4C6D-83B0-342789E7A06B}" name="Customer ID">
      <calculatedColumnFormula>IF(_xlfn.XLOOKUP(DueDiligenceRegister[[#This Row],[Customer ID]], DueDiligenceRegister[Customer ID], DueDiligenceRegister[Account Status])="Open Account", DueDiligenceRegister[[#This Row],[Customer ID]], "Ineligible / Rejected")</calculatedColumnFormula>
    </tableColumn>
    <tableColumn id="3" xr3:uid="{C8FB6C23-1F08-4454-9CD3-9697BA17C172}" name="Customer Name">
      <calculatedColumnFormula>IFERROR(
_xlfn.XLOOKUP(
A2,
tblCustomers[Customer ID],
tblCustomers[Full Name]
),
"")</calculatedColumnFormula>
    </tableColumn>
    <tableColumn id="4" xr3:uid="{761B678C-ACAA-4744-A6F0-ACAAAB0E4388}" name="Transaction Date" dataDxfId="2">
      <calculatedColumnFormula>TODAY()-RANDBETWEEN(0,180)</calculatedColumnFormula>
    </tableColumn>
    <tableColumn id="5" xr3:uid="{30DAA71E-549E-47FA-BCEE-03B77A345579}" name="Transaction Type" dataDxfId="1">
      <calculatedColumnFormula>tblTransactionType[[#This Row],[Transaction Type]]</calculatedColumnFormula>
    </tableColumn>
    <tableColumn id="6" xr3:uid="{20A387AE-A4E6-4436-BD04-C4E05617946E}" name="Amount (USD)">
      <calculatedColumnFormula>ROUND(RAND()*15000+50,2)</calculatedColumnFormula>
    </tableColumn>
    <tableColumn id="7" xr3:uid="{63AD3F3E-5EB4-44E9-8688-DA16F80BFC77}" name="Country">
      <calculatedColumnFormula>IFERROR(
_xlfn.XLOOKUP(
A2,
tblCustomers[Customer ID],
tblCustomers[Country]
),
"")</calculatedColumnFormula>
    </tableColumn>
    <tableColumn id="8" xr3:uid="{6B9AA7AE-861A-4F07-92C9-D192A6FF1D11}" name="Delivery Channel">
      <calculatedColumnFormula>IFERROR(
_xlfn.XLOOKUP(
A2,
tblCustomers[Customer ID],
tblCustomers[Delivery Channel]
),
"")</calculatedColumnFormula>
    </tableColumn>
    <tableColumn id="9" xr3:uid="{0EB0DC0C-013E-40F6-93EE-B6F645AA016F}" name="Expected Annual Income">
      <calculatedColumnFormula>IFERROR(
_xlfn.XLOOKUP(
A2,
tblCustomers[Customer ID],
tblCustomers[Annual Income (USD)]
),
0)</calculatedColumnFormula>
    </tableColumn>
    <tableColumn id="10" xr3:uid="{FBBB0C25-B664-4ACC-BC87-F6D4F7FA6C66}" name="Transaction Frequency (30 Days)">
      <calculatedColumnFormula>COUNTIFS(A:A,A2,C:C,"&gt;="&amp;TODAY()-30)</calculatedColumnFormula>
    </tableColumn>
    <tableColumn id="11" xr3:uid="{392398D1-CD23-4E81-8683-4FAA5F79C315}" name="High Value Flag">
      <calculatedColumnFormula>IF(E2&gt;=H2*0.25,"Yes","No")</calculatedColumnFormula>
    </tableColumn>
    <tableColumn id="12" xr3:uid="{69DA7ABB-FE08-44E4-A547-40ABC267DDBB}" name="Velocity Flag">
      <calculatedColumnFormula>IF(I2&gt;15,"Yes","No")</calculatedColumnFormula>
    </tableColumn>
    <tableColumn id="13" xr3:uid="{C4CCEFA7-BE42-4816-ABD6-C654CCC20EF2}" name="Geographic Flag">
      <calculatedColumnFormula>IF(
ISNUMBER(
MATCH(
G2,
tblHighRiskCountries[Country],
0)),
"Yes",
"No")</calculatedColumnFormula>
    </tableColumn>
    <tableColumn id="14" xr3:uid="{BD65B04C-B39A-4C42-A53D-0C1AA700949B}" name="Structuring Flag">
      <calculatedColumnFormula>IF(COUNTIFS(A:A,A2,E:E,"&gt;=9000",E:E,"&lt;=9999")&gt;=5,"Yes","No")</calculatedColumnFormula>
    </tableColumn>
    <tableColumn id="15" xr3:uid="{9ECB6063-FA01-4013-A0CC-70AC3A5E5D89}" name="Overall Alert">
      <calculatedColumnFormula>_xlfn.IFS(J2="Yes","Alert",K2="Yes","Alert",L2="Yes","Alert",M2="Yes","Alert",TRUE,"Normal")</calculatedColumnFormula>
    </tableColumn>
    <tableColumn id="16" xr3:uid="{F385ED36-8048-4A42-AD88-2F4928C55ED4}" name="Behaviour Score" dataDxfId="0">
      <calculatedColumnFormula>_xlfn.IFS(N2="Normal",1,AND(J2="Yes",K2="No"),2,AND(K2="Yes",J2="No"),3,AND(J2="Yes",K2="Yes"),4,OR(L2="Yes",M2="Yes"),5)</calculatedColumnFormula>
    </tableColumn>
    <tableColumn id="17" xr3:uid="{1A1AB3B6-F67F-413D-8FAF-622174A67999}" name="Escalation Required">
      <calculatedColumnFormula>IF(O2&gt;=4,"Yes","No")</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63C0AF3-62AB-4CC8-868C-0F683C27C626}" name="Table27" displayName="Table27" ref="A20:B24" totalsRowShown="0">
  <autoFilter ref="A20:B24" xr:uid="{263C0AF3-62AB-4CC8-868C-0F683C27C626}"/>
  <tableColumns count="2">
    <tableColumn id="1" xr3:uid="{2F5763B3-5E35-4D67-8E5C-801BE8D70092}" name="Screening Result"/>
    <tableColumn id="2" xr3:uid="{D6CEFACF-3464-424F-9F7A-6FA5ABBC7167}" name="Count"/>
  </tableColumns>
  <tableStyleInfo name="TableStyleDark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8EEC435-2813-47FA-808F-C94F9A63ADA9}" name="Table28" displayName="Table28" ref="I20:J23" totalsRowShown="0">
  <autoFilter ref="I20:J23" xr:uid="{98EEC435-2813-47FA-808F-C94F9A63ADA9}"/>
  <tableColumns count="2">
    <tableColumn id="1" xr3:uid="{61BB2285-8701-4518-B19A-2EB9AB7EEA89}" name="Alert Status"/>
    <tableColumn id="2" xr3:uid="{0248C348-3B95-4E6B-A1AB-81497A9FDDB8}" name="Count"/>
  </tableColumns>
  <tableStyleInfo name="TableStyleDark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CEF6AC2-8324-4B08-A5FC-B0F686E32EBC}" name="Table25" displayName="Table25" ref="A8:B12" totalsRowShown="0">
  <autoFilter ref="A8:B12" xr:uid="{8CEF6AC2-8324-4B08-A5FC-B0F686E32EBC}"/>
  <tableColumns count="2">
    <tableColumn id="1" xr3:uid="{A19C6320-318A-4DDA-A4E5-BB3DBF1CB2D0}" name="Risk Rating"/>
    <tableColumn id="2" xr3:uid="{E4FFB409-90E8-404E-B9E6-7635425553B9}" name="Count"/>
  </tableColumns>
  <tableStyleInfo name="TableStyleDark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7DCD09A-D822-4709-B4F4-F14A478FEA77}" name="Table26" displayName="Table26" ref="I8:J11" totalsRowShown="0">
  <autoFilter ref="I8:J11" xr:uid="{47DCD09A-D822-4709-B4F4-F14A478FEA77}"/>
  <tableColumns count="2">
    <tableColumn id="1" xr3:uid="{8264F659-3D35-45A4-A5D4-1B424B844ADE}" name="Due Diligence"/>
    <tableColumn id="2" xr3:uid="{D8FA9877-0457-4850-864A-766C17D2605C}" name="Count"/>
  </tableColumns>
  <tableStyleInfo name="TableStyleDark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A88BAA-E1D8-47C4-92C5-2647C24B21E3}" name="Table29" displayName="Table29" ref="A36:B40" totalsRowShown="0">
  <autoFilter ref="A36:B40" xr:uid="{23A88BAA-E1D8-47C4-92C5-2647C24B21E3}"/>
  <tableColumns count="2">
    <tableColumn id="1" xr3:uid="{54D83C40-6AF5-44A6-9C5D-13A4AD8DF25D}" name="Decision"/>
    <tableColumn id="2" xr3:uid="{E73993C3-78A2-47D8-ABF0-374CD1716A7B}" name="Count"/>
  </tableColumns>
  <tableStyleInfo name="TableStyleDark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5809FA-8EA0-4B8B-AA5B-1C8CD58BF82E}" name="tblCustomerType" displayName="tblCustomerType" ref="A1:B6" totalsRowShown="0">
  <autoFilter ref="A1:B6" xr:uid="{445809FA-8EA0-4B8B-AA5B-1C8CD58BF82E}"/>
  <tableColumns count="2">
    <tableColumn id="1" xr3:uid="{766D6130-DBA2-479F-9C62-461AD3879245}" name="Customer Type"/>
    <tableColumn id="2" xr3:uid="{A84F4B1B-008A-4FAE-A27D-EF2A361173C4}" name="Risk Score"/>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7BB091-ABF6-448B-8FD0-E52D73F948F4}" name="tblCountryRisk" displayName="tblCountryRisk" ref="D1:E13" totalsRowShown="0">
  <autoFilter ref="D1:E13" xr:uid="{CF7BB091-ABF6-448B-8FD0-E52D73F948F4}"/>
  <tableColumns count="2">
    <tableColumn id="1" xr3:uid="{92D75B86-5BC8-4225-9C7F-82EB078364B2}" name="Country"/>
    <tableColumn id="2" xr3:uid="{4AA7338E-A40B-4954-9A88-1B95C52467C0}" name="Risk Score"/>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F85325-7C9D-47D1-AF12-31012DB57992}" name="tblProductRisk" displayName="tblProductRisk" ref="G1:H8" totalsRowShown="0">
  <autoFilter ref="G1:H8" xr:uid="{4BF85325-7C9D-47D1-AF12-31012DB57992}"/>
  <tableColumns count="2">
    <tableColumn id="1" xr3:uid="{F2023804-5DEE-4270-97F2-CBC60B5FC9BD}" name="Product"/>
    <tableColumn id="2" xr3:uid="{0C312658-FAF8-4404-970C-F13E297C52B7}" name="Risk Score"/>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D3929C3-2EA1-4624-B651-EDB7A112DA67}" name="tblChannelRisk" displayName="tblChannelRisk" ref="J1:K8" totalsRowShown="0">
  <autoFilter ref="J1:K8" xr:uid="{BD3929C3-2EA1-4624-B651-EDB7A112DA67}"/>
  <tableColumns count="2">
    <tableColumn id="1" xr3:uid="{51B65CA1-2919-43FE-8607-DDDB7B643996}" name="Channel"/>
    <tableColumn id="2" xr3:uid="{2C0BA0BB-B744-4539-B6C4-70B179CCCED6}" name="Risk Score"/>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87E96A3-7E2C-4031-94E5-FCA68AD7E801}" name="tblOccupationRisk" displayName="tblOccupationRisk" ref="P1:Q19" totalsRowShown="0">
  <autoFilter ref="P1:Q19" xr:uid="{687E96A3-7E2C-4031-94E5-FCA68AD7E801}"/>
  <tableColumns count="2">
    <tableColumn id="1" xr3:uid="{AB479792-E892-4213-A7FB-8BFC7B9D3862}" name="Occupation"/>
    <tableColumn id="2" xr3:uid="{DD757464-4350-42E1-878F-A78A4967584C}" name="Risk Score"/>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A8484FF-C5D6-4D7F-A12C-053269904955}" name="tblScreeningRisk" displayName="tblScreeningRisk" ref="M1:N6" totalsRowShown="0">
  <autoFilter ref="M1:N6" xr:uid="{7A8484FF-C5D6-4D7F-A12C-053269904955}"/>
  <tableColumns count="2">
    <tableColumn id="1" xr3:uid="{36016848-6E23-4419-A1F5-927A44FD7795}" name="Screening Result"/>
    <tableColumn id="2" xr3:uid="{A630962B-91B5-4D78-BD82-C77C67A3DFDC}" name="Risk Score"/>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C4EFE8C-3C87-40D4-A58A-8554C7F46B17}" name="tblDueDiligence" displayName="tblDueDiligence" ref="S1:T5" totalsRowShown="0">
  <autoFilter ref="S1:T5" xr:uid="{7C4EFE8C-3C87-40D4-A58A-8554C7F46B17}"/>
  <tableColumns count="2">
    <tableColumn id="1" xr3:uid="{2D62376C-95D5-40F0-A808-CFA78F055AD6}" name="Risk Rating"/>
    <tableColumn id="2" xr3:uid="{2CB97C0C-CF72-4CBC-9B5D-8721B3E00953}" name="Due Diligence"/>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E073BD1-E809-414E-87FE-1E5BD4119C99}" name="tblDecision" displayName="tblDecision" ref="V1:W4" totalsRowShown="0">
  <autoFilter ref="V1:W4" xr:uid="{EE073BD1-E809-414E-87FE-1E5BD4119C99}"/>
  <tableColumns count="2">
    <tableColumn id="1" xr3:uid="{B5D28885-A67D-4F05-AC93-51E2D1FF05AF}" name="Due Diligence"/>
    <tableColumn id="2" xr3:uid="{79CA7815-A50C-4112-8F3B-2D67C7FAF4EC}" name="Decision"/>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A921102-1646-443D-8080-538A1B7F8DAA}" name="tblReviewStatus" displayName="tblReviewStatus" ref="Y1:Y6" totalsRowShown="0">
  <autoFilter ref="Y1:Y6" xr:uid="{7A921102-1646-443D-8080-538A1B7F8DAA}"/>
  <tableColumns count="1">
    <tableColumn id="1" xr3:uid="{C1E5466B-2EF0-4237-934B-D6D6140F85DE}" name="Review Status"/>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9ED82-4045-4FF2-B194-A2BF7FD423E4}" name="tblHighRiskCountries" displayName="tblHighRiskCountries" ref="AA1:AA7" totalsRowShown="0">
  <autoFilter ref="AA1:AA7" xr:uid="{1CF9ED82-4045-4FF2-B194-A2BF7FD423E4}"/>
  <tableColumns count="1">
    <tableColumn id="1" xr3:uid="{7C4BBDD1-675B-448A-8A60-9CA42912E183}" name="Country"/>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4769B81-21E9-4477-BE67-908EB4D9F71E}" name="tblTransactionType" displayName="tblTransactionType" ref="AC1:AC11" totalsRowShown="0">
  <autoFilter ref="AC1:AC11" xr:uid="{D4769B81-21E9-4477-BE67-908EB4D9F71E}"/>
  <tableColumns count="1">
    <tableColumn id="1" xr3:uid="{CF1D6B52-B538-4B88-A14C-43119684A0F8}" name="Transaction 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table" Target="../tables/table13.xml"/><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D76A1-11BC-4B2F-B88F-E526DA6C32EF}">
  <dimension ref="A1:B43"/>
  <sheetViews>
    <sheetView showGridLines="0" topLeftCell="A43" workbookViewId="0">
      <selection activeCell="C43" sqref="C43"/>
    </sheetView>
  </sheetViews>
  <sheetFormatPr defaultRowHeight="15" x14ac:dyDescent="0.25"/>
  <cols>
    <col min="1" max="1" width="132.42578125" bestFit="1" customWidth="1"/>
  </cols>
  <sheetData>
    <row r="1" spans="1:2" ht="18.75" x14ac:dyDescent="0.3">
      <c r="A1" s="9" t="s">
        <v>579</v>
      </c>
      <c r="B1" s="10"/>
    </row>
    <row r="2" spans="1:2" ht="120" x14ac:dyDescent="0.25">
      <c r="A2" s="11" t="s">
        <v>586</v>
      </c>
    </row>
    <row r="4" spans="1:2" ht="18.75" x14ac:dyDescent="0.3">
      <c r="A4" s="9" t="s">
        <v>580</v>
      </c>
    </row>
    <row r="5" spans="1:2" ht="75" x14ac:dyDescent="0.25">
      <c r="A5" s="11" t="s">
        <v>587</v>
      </c>
    </row>
    <row r="7" spans="1:2" ht="18.75" x14ac:dyDescent="0.3">
      <c r="A7" s="15" t="s">
        <v>581</v>
      </c>
      <c r="B7" s="16"/>
    </row>
    <row r="8" spans="1:2" x14ac:dyDescent="0.25">
      <c r="A8" t="s">
        <v>588</v>
      </c>
    </row>
    <row r="9" spans="1:2" x14ac:dyDescent="0.25">
      <c r="A9" t="s">
        <v>589</v>
      </c>
    </row>
    <row r="10" spans="1:2" x14ac:dyDescent="0.25">
      <c r="A10" t="s">
        <v>590</v>
      </c>
    </row>
    <row r="11" spans="1:2" x14ac:dyDescent="0.25">
      <c r="A11" t="s">
        <v>591</v>
      </c>
    </row>
    <row r="12" spans="1:2" x14ac:dyDescent="0.25">
      <c r="A12" t="s">
        <v>592</v>
      </c>
    </row>
    <row r="13" spans="1:2" x14ac:dyDescent="0.25">
      <c r="A13" t="s">
        <v>593</v>
      </c>
    </row>
    <row r="14" spans="1:2" x14ac:dyDescent="0.25">
      <c r="A14" t="s">
        <v>594</v>
      </c>
    </row>
    <row r="15" spans="1:2" x14ac:dyDescent="0.25">
      <c r="A15" t="s">
        <v>595</v>
      </c>
    </row>
    <row r="17" spans="1:2" ht="18.75" x14ac:dyDescent="0.3">
      <c r="A17" s="12" t="s">
        <v>582</v>
      </c>
      <c r="B17" s="13"/>
    </row>
    <row r="18" spans="1:2" x14ac:dyDescent="0.25">
      <c r="A18" t="s">
        <v>596</v>
      </c>
      <c r="B18" s="14"/>
    </row>
    <row r="19" spans="1:2" x14ac:dyDescent="0.25">
      <c r="A19" t="s">
        <v>597</v>
      </c>
    </row>
    <row r="20" spans="1:2" x14ac:dyDescent="0.25">
      <c r="A20" t="s">
        <v>598</v>
      </c>
    </row>
    <row r="21" spans="1:2" x14ac:dyDescent="0.25">
      <c r="A21" t="s">
        <v>599</v>
      </c>
    </row>
    <row r="22" spans="1:2" x14ac:dyDescent="0.25">
      <c r="A22" t="s">
        <v>600</v>
      </c>
    </row>
    <row r="23" spans="1:2" x14ac:dyDescent="0.25">
      <c r="A23" t="s">
        <v>601</v>
      </c>
    </row>
    <row r="24" spans="1:2" x14ac:dyDescent="0.25">
      <c r="A24" t="s">
        <v>602</v>
      </c>
    </row>
    <row r="25" spans="1:2" x14ac:dyDescent="0.25">
      <c r="A25" t="s">
        <v>603</v>
      </c>
    </row>
    <row r="26" spans="1:2" x14ac:dyDescent="0.25">
      <c r="A26" t="s">
        <v>604</v>
      </c>
    </row>
    <row r="27" spans="1:2" x14ac:dyDescent="0.25">
      <c r="A27" t="s">
        <v>583</v>
      </c>
    </row>
    <row r="28" spans="1:2" x14ac:dyDescent="0.25">
      <c r="A28" t="s">
        <v>605</v>
      </c>
    </row>
    <row r="30" spans="1:2" ht="18.75" x14ac:dyDescent="0.3">
      <c r="A30" s="15" t="s">
        <v>584</v>
      </c>
      <c r="B30" s="16"/>
    </row>
    <row r="31" spans="1:2" x14ac:dyDescent="0.25">
      <c r="A31" t="s">
        <v>585</v>
      </c>
    </row>
    <row r="33" spans="1:2" x14ac:dyDescent="0.25">
      <c r="A33" t="s">
        <v>606</v>
      </c>
    </row>
    <row r="34" spans="1:2" x14ac:dyDescent="0.25">
      <c r="A34" t="s">
        <v>607</v>
      </c>
    </row>
    <row r="35" spans="1:2" x14ac:dyDescent="0.25">
      <c r="A35" t="s">
        <v>608</v>
      </c>
    </row>
    <row r="36" spans="1:2" x14ac:dyDescent="0.25">
      <c r="A36" t="s">
        <v>609</v>
      </c>
    </row>
    <row r="37" spans="1:2" x14ac:dyDescent="0.25">
      <c r="A37" t="s">
        <v>610</v>
      </c>
    </row>
    <row r="38" spans="1:2" x14ac:dyDescent="0.25">
      <c r="A38" t="s">
        <v>611</v>
      </c>
    </row>
    <row r="39" spans="1:2" x14ac:dyDescent="0.25">
      <c r="A39" t="s">
        <v>612</v>
      </c>
    </row>
    <row r="40" spans="1:2" x14ac:dyDescent="0.25">
      <c r="A40" t="s">
        <v>613</v>
      </c>
    </row>
    <row r="42" spans="1:2" ht="18.75" x14ac:dyDescent="0.3">
      <c r="A42" s="15" t="s">
        <v>615</v>
      </c>
      <c r="B42" s="16"/>
    </row>
    <row r="43" spans="1:2" ht="210" x14ac:dyDescent="0.25">
      <c r="A43" s="11" t="s">
        <v>614</v>
      </c>
    </row>
  </sheetData>
  <mergeCells count="3">
    <mergeCell ref="A7:B7"/>
    <mergeCell ref="A30:B30"/>
    <mergeCell ref="A42:B42"/>
  </mergeCells>
  <conditionalFormatting sqref="A1:A2">
    <cfRule type="duplicateValues" dxfId="28" priority="1"/>
  </conditionalFormatting>
  <conditionalFormatting sqref="A4:A5">
    <cfRule type="duplicateValues" dxfId="27"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2"/>
  <sheetViews>
    <sheetView tabSelected="1" workbookViewId="0">
      <selection activeCell="B94" sqref="B94"/>
    </sheetView>
  </sheetViews>
  <sheetFormatPr defaultRowHeight="15" x14ac:dyDescent="0.25"/>
  <cols>
    <col min="1" max="1" width="14.140625" bestFit="1" customWidth="1"/>
    <col min="2" max="2" width="27" bestFit="1" customWidth="1"/>
    <col min="3" max="3" width="16.7109375" bestFit="1" customWidth="1"/>
    <col min="4" max="5" width="15.42578125" bestFit="1" customWidth="1"/>
    <col min="6" max="6" width="21.7109375" bestFit="1" customWidth="1"/>
    <col min="7" max="7" width="22.42578125" bestFit="1" customWidth="1"/>
    <col min="8" max="8" width="20.42578125" bestFit="1" customWidth="1"/>
    <col min="9" max="9" width="20.5703125" bestFit="1" customWidth="1"/>
    <col min="10" max="10" width="18.285156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v>1202122</v>
      </c>
      <c r="H2" t="s">
        <v>16</v>
      </c>
      <c r="I2" t="s">
        <v>17</v>
      </c>
      <c r="J2" t="s">
        <v>18</v>
      </c>
    </row>
    <row r="3" spans="1:10" x14ac:dyDescent="0.25">
      <c r="A3" t="s">
        <v>19</v>
      </c>
      <c r="B3" t="s">
        <v>20</v>
      </c>
      <c r="C3" t="s">
        <v>12</v>
      </c>
      <c r="D3" t="s">
        <v>21</v>
      </c>
      <c r="E3" t="s">
        <v>22</v>
      </c>
      <c r="F3" t="s">
        <v>23</v>
      </c>
      <c r="G3">
        <v>2489030</v>
      </c>
      <c r="H3" t="s">
        <v>24</v>
      </c>
      <c r="I3" t="s">
        <v>17</v>
      </c>
      <c r="J3" t="s">
        <v>18</v>
      </c>
    </row>
    <row r="4" spans="1:10" x14ac:dyDescent="0.25">
      <c r="A4" t="s">
        <v>25</v>
      </c>
      <c r="B4" t="s">
        <v>26</v>
      </c>
      <c r="C4" t="s">
        <v>12</v>
      </c>
      <c r="D4" t="s">
        <v>27</v>
      </c>
      <c r="E4" t="s">
        <v>21</v>
      </c>
      <c r="F4" t="s">
        <v>28</v>
      </c>
      <c r="G4">
        <v>3995350</v>
      </c>
      <c r="H4" t="s">
        <v>29</v>
      </c>
      <c r="I4" t="s">
        <v>30</v>
      </c>
      <c r="J4" t="s">
        <v>16</v>
      </c>
    </row>
    <row r="5" spans="1:10" x14ac:dyDescent="0.25">
      <c r="A5" t="s">
        <v>31</v>
      </c>
      <c r="B5" t="s">
        <v>32</v>
      </c>
      <c r="C5" t="s">
        <v>12</v>
      </c>
      <c r="D5" t="s">
        <v>21</v>
      </c>
      <c r="E5" t="s">
        <v>27</v>
      </c>
      <c r="F5" t="s">
        <v>33</v>
      </c>
      <c r="G5">
        <v>48267</v>
      </c>
      <c r="H5" t="s">
        <v>16</v>
      </c>
      <c r="I5" t="s">
        <v>17</v>
      </c>
      <c r="J5" t="s">
        <v>24</v>
      </c>
    </row>
    <row r="6" spans="1:10" x14ac:dyDescent="0.25">
      <c r="A6" t="s">
        <v>34</v>
      </c>
      <c r="B6" t="s">
        <v>35</v>
      </c>
      <c r="C6" t="s">
        <v>12</v>
      </c>
      <c r="D6" t="s">
        <v>21</v>
      </c>
      <c r="E6" t="s">
        <v>36</v>
      </c>
      <c r="F6" t="s">
        <v>37</v>
      </c>
      <c r="G6">
        <v>2210763</v>
      </c>
      <c r="H6" t="s">
        <v>38</v>
      </c>
      <c r="I6" t="s">
        <v>30</v>
      </c>
      <c r="J6" t="s">
        <v>16</v>
      </c>
    </row>
    <row r="7" spans="1:10" x14ac:dyDescent="0.25">
      <c r="A7" t="s">
        <v>39</v>
      </c>
      <c r="B7" t="s">
        <v>40</v>
      </c>
      <c r="C7" t="s">
        <v>12</v>
      </c>
      <c r="D7" t="s">
        <v>13</v>
      </c>
      <c r="E7" t="s">
        <v>41</v>
      </c>
      <c r="F7" t="s">
        <v>37</v>
      </c>
      <c r="G7">
        <v>3389015</v>
      </c>
      <c r="H7" t="s">
        <v>16</v>
      </c>
      <c r="I7" t="s">
        <v>17</v>
      </c>
      <c r="J7" t="s">
        <v>16</v>
      </c>
    </row>
    <row r="8" spans="1:10" x14ac:dyDescent="0.25">
      <c r="A8" t="s">
        <v>42</v>
      </c>
      <c r="B8" t="s">
        <v>43</v>
      </c>
      <c r="C8" t="s">
        <v>12</v>
      </c>
      <c r="D8" t="s">
        <v>44</v>
      </c>
      <c r="E8" t="s">
        <v>36</v>
      </c>
      <c r="F8" t="s">
        <v>45</v>
      </c>
      <c r="G8">
        <v>3895082</v>
      </c>
      <c r="H8" t="s">
        <v>46</v>
      </c>
      <c r="I8" t="s">
        <v>47</v>
      </c>
      <c r="J8" t="s">
        <v>16</v>
      </c>
    </row>
    <row r="9" spans="1:10" x14ac:dyDescent="0.25">
      <c r="A9" t="s">
        <v>48</v>
      </c>
      <c r="B9" t="s">
        <v>49</v>
      </c>
      <c r="C9" t="s">
        <v>12</v>
      </c>
      <c r="D9" t="s">
        <v>27</v>
      </c>
      <c r="E9" t="s">
        <v>41</v>
      </c>
      <c r="F9" t="s">
        <v>28</v>
      </c>
      <c r="G9">
        <v>3970570</v>
      </c>
      <c r="H9" t="s">
        <v>46</v>
      </c>
      <c r="I9" t="s">
        <v>47</v>
      </c>
      <c r="J9" t="s">
        <v>50</v>
      </c>
    </row>
    <row r="10" spans="1:10" x14ac:dyDescent="0.25">
      <c r="A10" t="s">
        <v>51</v>
      </c>
      <c r="B10" t="s">
        <v>52</v>
      </c>
      <c r="C10" t="s">
        <v>12</v>
      </c>
      <c r="D10" t="s">
        <v>13</v>
      </c>
      <c r="E10" t="s">
        <v>41</v>
      </c>
      <c r="F10" t="s">
        <v>53</v>
      </c>
      <c r="G10">
        <v>1070802</v>
      </c>
      <c r="H10" t="s">
        <v>16</v>
      </c>
      <c r="I10" t="s">
        <v>54</v>
      </c>
      <c r="J10" t="s">
        <v>55</v>
      </c>
    </row>
    <row r="11" spans="1:10" x14ac:dyDescent="0.25">
      <c r="A11" t="s">
        <v>56</v>
      </c>
      <c r="B11" t="s">
        <v>57</v>
      </c>
      <c r="C11" t="s">
        <v>12</v>
      </c>
      <c r="D11" t="s">
        <v>41</v>
      </c>
      <c r="E11" t="s">
        <v>44</v>
      </c>
      <c r="F11" t="s">
        <v>58</v>
      </c>
      <c r="G11">
        <v>3125353</v>
      </c>
      <c r="H11" t="s">
        <v>16</v>
      </c>
      <c r="I11" t="s">
        <v>47</v>
      </c>
      <c r="J11" t="s">
        <v>59</v>
      </c>
    </row>
    <row r="12" spans="1:10" x14ac:dyDescent="0.25">
      <c r="A12" t="s">
        <v>60</v>
      </c>
      <c r="B12" t="s">
        <v>61</v>
      </c>
      <c r="C12" t="s">
        <v>12</v>
      </c>
      <c r="D12" t="s">
        <v>36</v>
      </c>
      <c r="E12" t="s">
        <v>22</v>
      </c>
      <c r="F12" t="s">
        <v>23</v>
      </c>
      <c r="G12">
        <v>2244240</v>
      </c>
      <c r="H12" t="s">
        <v>38</v>
      </c>
      <c r="I12" t="s">
        <v>47</v>
      </c>
      <c r="J12" t="s">
        <v>59</v>
      </c>
    </row>
    <row r="13" spans="1:10" x14ac:dyDescent="0.25">
      <c r="A13" t="s">
        <v>62</v>
      </c>
      <c r="B13" t="s">
        <v>63</v>
      </c>
      <c r="C13" t="s">
        <v>12</v>
      </c>
      <c r="D13" t="s">
        <v>27</v>
      </c>
      <c r="E13" t="s">
        <v>21</v>
      </c>
      <c r="F13" t="s">
        <v>64</v>
      </c>
      <c r="G13">
        <v>51603</v>
      </c>
      <c r="H13" t="s">
        <v>16</v>
      </c>
      <c r="I13" t="s">
        <v>30</v>
      </c>
      <c r="J13" t="s">
        <v>59</v>
      </c>
    </row>
    <row r="14" spans="1:10" x14ac:dyDescent="0.25">
      <c r="A14" t="s">
        <v>65</v>
      </c>
      <c r="B14" t="s">
        <v>66</v>
      </c>
      <c r="C14" t="s">
        <v>12</v>
      </c>
      <c r="D14" t="s">
        <v>36</v>
      </c>
      <c r="E14" t="s">
        <v>36</v>
      </c>
      <c r="F14" t="s">
        <v>58</v>
      </c>
      <c r="G14">
        <v>2611547</v>
      </c>
      <c r="H14" t="s">
        <v>24</v>
      </c>
      <c r="I14" t="s">
        <v>17</v>
      </c>
      <c r="J14" t="s">
        <v>18</v>
      </c>
    </row>
    <row r="15" spans="1:10" x14ac:dyDescent="0.25">
      <c r="A15" t="s">
        <v>67</v>
      </c>
      <c r="B15" t="s">
        <v>68</v>
      </c>
      <c r="C15" t="s">
        <v>12</v>
      </c>
      <c r="D15" t="s">
        <v>27</v>
      </c>
      <c r="E15" t="s">
        <v>22</v>
      </c>
      <c r="F15" t="s">
        <v>69</v>
      </c>
      <c r="G15">
        <v>1438136</v>
      </c>
      <c r="H15" t="s">
        <v>24</v>
      </c>
      <c r="I15" t="s">
        <v>17</v>
      </c>
      <c r="J15" t="s">
        <v>50</v>
      </c>
    </row>
    <row r="16" spans="1:10" x14ac:dyDescent="0.25">
      <c r="A16" t="s">
        <v>70</v>
      </c>
      <c r="B16" t="s">
        <v>71</v>
      </c>
      <c r="C16" t="s">
        <v>12</v>
      </c>
      <c r="D16" t="s">
        <v>27</v>
      </c>
      <c r="E16" t="s">
        <v>14</v>
      </c>
      <c r="F16" t="s">
        <v>72</v>
      </c>
      <c r="G16">
        <v>2797953</v>
      </c>
      <c r="H16" t="s">
        <v>16</v>
      </c>
      <c r="I16" t="s">
        <v>30</v>
      </c>
      <c r="J16" t="s">
        <v>24</v>
      </c>
    </row>
    <row r="17" spans="1:10" x14ac:dyDescent="0.25">
      <c r="A17" t="s">
        <v>73</v>
      </c>
      <c r="B17" t="s">
        <v>74</v>
      </c>
      <c r="C17" t="s">
        <v>12</v>
      </c>
      <c r="D17" t="s">
        <v>41</v>
      </c>
      <c r="E17" t="s">
        <v>21</v>
      </c>
      <c r="F17" t="s">
        <v>64</v>
      </c>
      <c r="G17">
        <v>4424156</v>
      </c>
      <c r="H17" t="s">
        <v>75</v>
      </c>
      <c r="I17" t="s">
        <v>54</v>
      </c>
      <c r="J17" t="s">
        <v>55</v>
      </c>
    </row>
    <row r="18" spans="1:10" x14ac:dyDescent="0.25">
      <c r="A18" t="s">
        <v>76</v>
      </c>
      <c r="B18" t="s">
        <v>77</v>
      </c>
      <c r="C18" t="s">
        <v>12</v>
      </c>
      <c r="D18" t="s">
        <v>14</v>
      </c>
      <c r="E18" t="s">
        <v>41</v>
      </c>
      <c r="F18" t="s">
        <v>15</v>
      </c>
      <c r="G18">
        <v>1577720</v>
      </c>
      <c r="H18" t="s">
        <v>75</v>
      </c>
      <c r="I18" t="s">
        <v>30</v>
      </c>
      <c r="J18" t="s">
        <v>59</v>
      </c>
    </row>
    <row r="19" spans="1:10" x14ac:dyDescent="0.25">
      <c r="A19" t="s">
        <v>78</v>
      </c>
      <c r="B19" t="s">
        <v>79</v>
      </c>
      <c r="C19" t="s">
        <v>12</v>
      </c>
      <c r="D19" t="s">
        <v>44</v>
      </c>
      <c r="E19" t="s">
        <v>21</v>
      </c>
      <c r="F19" t="s">
        <v>45</v>
      </c>
      <c r="G19">
        <v>4888065</v>
      </c>
      <c r="H19" t="s">
        <v>29</v>
      </c>
      <c r="I19" t="s">
        <v>54</v>
      </c>
      <c r="J19" t="s">
        <v>55</v>
      </c>
    </row>
    <row r="20" spans="1:10" x14ac:dyDescent="0.25">
      <c r="A20" t="s">
        <v>80</v>
      </c>
      <c r="B20" t="s">
        <v>81</v>
      </c>
      <c r="C20" t="s">
        <v>12</v>
      </c>
      <c r="D20" t="s">
        <v>14</v>
      </c>
      <c r="E20" t="s">
        <v>27</v>
      </c>
      <c r="F20" t="s">
        <v>45</v>
      </c>
      <c r="G20">
        <v>1238557</v>
      </c>
      <c r="H20" t="s">
        <v>38</v>
      </c>
      <c r="I20" t="s">
        <v>30</v>
      </c>
      <c r="J20" t="s">
        <v>82</v>
      </c>
    </row>
    <row r="21" spans="1:10" x14ac:dyDescent="0.25">
      <c r="A21" t="s">
        <v>83</v>
      </c>
      <c r="B21" t="s">
        <v>84</v>
      </c>
      <c r="C21" t="s">
        <v>12</v>
      </c>
      <c r="D21" t="s">
        <v>13</v>
      </c>
      <c r="E21" t="s">
        <v>21</v>
      </c>
      <c r="F21" t="s">
        <v>53</v>
      </c>
      <c r="G21">
        <v>3739704</v>
      </c>
      <c r="H21" t="s">
        <v>46</v>
      </c>
      <c r="I21" t="s">
        <v>30</v>
      </c>
      <c r="J21" t="s">
        <v>18</v>
      </c>
    </row>
    <row r="22" spans="1:10" x14ac:dyDescent="0.25">
      <c r="A22" t="s">
        <v>85</v>
      </c>
      <c r="B22" t="s">
        <v>86</v>
      </c>
      <c r="C22" t="s">
        <v>12</v>
      </c>
      <c r="D22" t="s">
        <v>36</v>
      </c>
      <c r="E22" t="s">
        <v>36</v>
      </c>
      <c r="F22" t="s">
        <v>23</v>
      </c>
      <c r="G22">
        <v>1511848</v>
      </c>
      <c r="H22" t="s">
        <v>29</v>
      </c>
      <c r="I22" t="s">
        <v>54</v>
      </c>
      <c r="J22" t="s">
        <v>59</v>
      </c>
    </row>
    <row r="23" spans="1:10" x14ac:dyDescent="0.25">
      <c r="A23" t="s">
        <v>87</v>
      </c>
      <c r="B23" t="s">
        <v>88</v>
      </c>
      <c r="C23" t="s">
        <v>12</v>
      </c>
      <c r="D23" t="s">
        <v>36</v>
      </c>
      <c r="E23" t="s">
        <v>13</v>
      </c>
      <c r="F23" t="s">
        <v>45</v>
      </c>
      <c r="G23">
        <v>1284920</v>
      </c>
      <c r="H23" t="s">
        <v>24</v>
      </c>
      <c r="I23" t="s">
        <v>54</v>
      </c>
      <c r="J23" t="s">
        <v>55</v>
      </c>
    </row>
    <row r="24" spans="1:10" x14ac:dyDescent="0.25">
      <c r="A24" t="s">
        <v>89</v>
      </c>
      <c r="B24" t="s">
        <v>90</v>
      </c>
      <c r="C24" t="s">
        <v>12</v>
      </c>
      <c r="D24" t="s">
        <v>14</v>
      </c>
      <c r="E24" t="s">
        <v>13</v>
      </c>
      <c r="F24" t="s">
        <v>15</v>
      </c>
      <c r="G24">
        <v>2909117</v>
      </c>
      <c r="H24" t="s">
        <v>38</v>
      </c>
      <c r="I24" t="s">
        <v>47</v>
      </c>
      <c r="J24" t="s">
        <v>82</v>
      </c>
    </row>
    <row r="25" spans="1:10" x14ac:dyDescent="0.25">
      <c r="A25" t="s">
        <v>91</v>
      </c>
      <c r="B25" t="s">
        <v>92</v>
      </c>
      <c r="C25" t="s">
        <v>12</v>
      </c>
      <c r="D25" t="s">
        <v>14</v>
      </c>
      <c r="E25" t="s">
        <v>22</v>
      </c>
      <c r="F25" t="s">
        <v>93</v>
      </c>
      <c r="G25">
        <v>4113326</v>
      </c>
      <c r="H25" t="s">
        <v>38</v>
      </c>
      <c r="I25" t="s">
        <v>47</v>
      </c>
      <c r="J25" t="s">
        <v>16</v>
      </c>
    </row>
    <row r="26" spans="1:10" x14ac:dyDescent="0.25">
      <c r="A26" t="s">
        <v>94</v>
      </c>
      <c r="B26" t="s">
        <v>95</v>
      </c>
      <c r="C26" t="s">
        <v>12</v>
      </c>
      <c r="D26" t="s">
        <v>14</v>
      </c>
      <c r="E26" t="s">
        <v>14</v>
      </c>
      <c r="F26" t="s">
        <v>93</v>
      </c>
      <c r="G26">
        <v>899817</v>
      </c>
      <c r="H26" t="s">
        <v>46</v>
      </c>
      <c r="I26" t="s">
        <v>30</v>
      </c>
      <c r="J26" t="s">
        <v>24</v>
      </c>
    </row>
    <row r="27" spans="1:10" x14ac:dyDescent="0.25">
      <c r="A27" t="s">
        <v>96</v>
      </c>
      <c r="B27" t="s">
        <v>57</v>
      </c>
      <c r="C27" t="s">
        <v>12</v>
      </c>
      <c r="D27" t="s">
        <v>27</v>
      </c>
      <c r="E27" t="s">
        <v>13</v>
      </c>
      <c r="F27" t="s">
        <v>53</v>
      </c>
      <c r="G27">
        <v>999995</v>
      </c>
      <c r="H27" t="s">
        <v>38</v>
      </c>
      <c r="I27" t="s">
        <v>47</v>
      </c>
      <c r="J27" t="s">
        <v>59</v>
      </c>
    </row>
    <row r="28" spans="1:10" x14ac:dyDescent="0.25">
      <c r="A28" t="s">
        <v>97</v>
      </c>
      <c r="B28" t="s">
        <v>98</v>
      </c>
      <c r="C28" t="s">
        <v>12</v>
      </c>
      <c r="D28" t="s">
        <v>22</v>
      </c>
      <c r="E28" t="s">
        <v>21</v>
      </c>
      <c r="F28" t="s">
        <v>64</v>
      </c>
      <c r="G28">
        <v>3260046</v>
      </c>
      <c r="H28" t="s">
        <v>46</v>
      </c>
      <c r="I28" t="s">
        <v>30</v>
      </c>
      <c r="J28" t="s">
        <v>59</v>
      </c>
    </row>
    <row r="29" spans="1:10" x14ac:dyDescent="0.25">
      <c r="A29" t="s">
        <v>99</v>
      </c>
      <c r="B29" t="s">
        <v>100</v>
      </c>
      <c r="C29" t="s">
        <v>12</v>
      </c>
      <c r="D29" t="s">
        <v>21</v>
      </c>
      <c r="E29" t="s">
        <v>44</v>
      </c>
      <c r="F29" t="s">
        <v>28</v>
      </c>
      <c r="G29">
        <v>4773492</v>
      </c>
      <c r="H29" t="s">
        <v>16</v>
      </c>
      <c r="I29" t="s">
        <v>17</v>
      </c>
      <c r="J29" t="s">
        <v>59</v>
      </c>
    </row>
    <row r="30" spans="1:10" x14ac:dyDescent="0.25">
      <c r="A30" t="s">
        <v>101</v>
      </c>
      <c r="B30" t="s">
        <v>102</v>
      </c>
      <c r="C30" t="s">
        <v>12</v>
      </c>
      <c r="D30" t="s">
        <v>21</v>
      </c>
      <c r="E30" t="s">
        <v>36</v>
      </c>
      <c r="F30" t="s">
        <v>45</v>
      </c>
      <c r="G30">
        <v>1149891</v>
      </c>
      <c r="H30" t="s">
        <v>24</v>
      </c>
      <c r="I30" t="s">
        <v>17</v>
      </c>
      <c r="J30" t="s">
        <v>59</v>
      </c>
    </row>
    <row r="31" spans="1:10" x14ac:dyDescent="0.25">
      <c r="A31" t="s">
        <v>103</v>
      </c>
      <c r="B31" t="s">
        <v>104</v>
      </c>
      <c r="C31" t="s">
        <v>12</v>
      </c>
      <c r="D31" t="s">
        <v>14</v>
      </c>
      <c r="E31" t="s">
        <v>44</v>
      </c>
      <c r="F31" t="s">
        <v>105</v>
      </c>
      <c r="G31">
        <v>552924</v>
      </c>
      <c r="H31" t="s">
        <v>16</v>
      </c>
      <c r="I31" t="s">
        <v>47</v>
      </c>
      <c r="J31" t="s">
        <v>24</v>
      </c>
    </row>
    <row r="32" spans="1:10" x14ac:dyDescent="0.25">
      <c r="A32" t="s">
        <v>106</v>
      </c>
      <c r="B32" t="s">
        <v>107</v>
      </c>
      <c r="C32" t="s">
        <v>12</v>
      </c>
      <c r="D32" t="s">
        <v>44</v>
      </c>
      <c r="E32" t="s">
        <v>36</v>
      </c>
      <c r="F32" t="s">
        <v>23</v>
      </c>
      <c r="G32">
        <v>4966393</v>
      </c>
      <c r="H32" t="s">
        <v>24</v>
      </c>
      <c r="I32" t="s">
        <v>54</v>
      </c>
      <c r="J32" t="s">
        <v>50</v>
      </c>
    </row>
    <row r="33" spans="1:10" x14ac:dyDescent="0.25">
      <c r="A33" t="s">
        <v>108</v>
      </c>
      <c r="B33" t="s">
        <v>109</v>
      </c>
      <c r="C33" t="s">
        <v>12</v>
      </c>
      <c r="D33" t="s">
        <v>13</v>
      </c>
      <c r="E33" t="s">
        <v>41</v>
      </c>
      <c r="F33" t="s">
        <v>64</v>
      </c>
      <c r="G33">
        <v>4982927</v>
      </c>
      <c r="H33" t="s">
        <v>46</v>
      </c>
      <c r="I33" t="s">
        <v>30</v>
      </c>
      <c r="J33" t="s">
        <v>82</v>
      </c>
    </row>
    <row r="34" spans="1:10" x14ac:dyDescent="0.25">
      <c r="A34" t="s">
        <v>110</v>
      </c>
      <c r="B34" t="s">
        <v>111</v>
      </c>
      <c r="C34" t="s">
        <v>12</v>
      </c>
      <c r="D34" t="s">
        <v>13</v>
      </c>
      <c r="E34" t="s">
        <v>13</v>
      </c>
      <c r="F34" t="s">
        <v>53</v>
      </c>
      <c r="G34">
        <v>3012716</v>
      </c>
      <c r="H34" t="s">
        <v>16</v>
      </c>
      <c r="I34" t="s">
        <v>47</v>
      </c>
      <c r="J34" t="s">
        <v>50</v>
      </c>
    </row>
    <row r="35" spans="1:10" x14ac:dyDescent="0.25">
      <c r="A35" t="s">
        <v>112</v>
      </c>
      <c r="B35" t="s">
        <v>113</v>
      </c>
      <c r="C35" t="s">
        <v>12</v>
      </c>
      <c r="D35" t="s">
        <v>14</v>
      </c>
      <c r="E35" t="s">
        <v>27</v>
      </c>
      <c r="F35" t="s">
        <v>15</v>
      </c>
      <c r="G35">
        <v>1830478</v>
      </c>
      <c r="H35" t="s">
        <v>24</v>
      </c>
      <c r="I35" t="s">
        <v>30</v>
      </c>
      <c r="J35" t="s">
        <v>55</v>
      </c>
    </row>
    <row r="36" spans="1:10" x14ac:dyDescent="0.25">
      <c r="A36" t="s">
        <v>114</v>
      </c>
      <c r="B36" t="s">
        <v>115</v>
      </c>
      <c r="C36" t="s">
        <v>12</v>
      </c>
      <c r="D36" t="s">
        <v>27</v>
      </c>
      <c r="E36" t="s">
        <v>22</v>
      </c>
      <c r="F36" t="s">
        <v>45</v>
      </c>
      <c r="G36">
        <v>3816334</v>
      </c>
      <c r="H36" t="s">
        <v>29</v>
      </c>
      <c r="I36" t="s">
        <v>30</v>
      </c>
      <c r="J36" t="s">
        <v>55</v>
      </c>
    </row>
    <row r="37" spans="1:10" x14ac:dyDescent="0.25">
      <c r="A37" t="s">
        <v>116</v>
      </c>
      <c r="B37" t="s">
        <v>117</v>
      </c>
      <c r="C37" t="s">
        <v>12</v>
      </c>
      <c r="D37" t="s">
        <v>27</v>
      </c>
      <c r="E37" t="s">
        <v>14</v>
      </c>
      <c r="F37" t="s">
        <v>72</v>
      </c>
      <c r="G37">
        <v>1023831</v>
      </c>
      <c r="H37" t="s">
        <v>46</v>
      </c>
      <c r="I37" t="s">
        <v>54</v>
      </c>
      <c r="J37" t="s">
        <v>55</v>
      </c>
    </row>
    <row r="38" spans="1:10" x14ac:dyDescent="0.25">
      <c r="A38" t="s">
        <v>118</v>
      </c>
      <c r="B38" t="s">
        <v>119</v>
      </c>
      <c r="C38" t="s">
        <v>12</v>
      </c>
      <c r="D38" t="s">
        <v>21</v>
      </c>
      <c r="E38" t="s">
        <v>13</v>
      </c>
      <c r="F38" t="s">
        <v>45</v>
      </c>
      <c r="G38">
        <v>1360079</v>
      </c>
      <c r="H38" t="s">
        <v>29</v>
      </c>
      <c r="I38" t="s">
        <v>30</v>
      </c>
      <c r="J38" t="s">
        <v>55</v>
      </c>
    </row>
    <row r="39" spans="1:10" x14ac:dyDescent="0.25">
      <c r="A39" t="s">
        <v>120</v>
      </c>
      <c r="B39" t="s">
        <v>121</v>
      </c>
      <c r="C39" t="s">
        <v>12</v>
      </c>
      <c r="D39" t="s">
        <v>22</v>
      </c>
      <c r="E39" t="s">
        <v>36</v>
      </c>
      <c r="F39" t="s">
        <v>122</v>
      </c>
      <c r="G39">
        <v>1331399</v>
      </c>
      <c r="H39" t="s">
        <v>16</v>
      </c>
      <c r="I39" t="s">
        <v>17</v>
      </c>
      <c r="J39" t="s">
        <v>16</v>
      </c>
    </row>
    <row r="40" spans="1:10" x14ac:dyDescent="0.25">
      <c r="A40" t="s">
        <v>123</v>
      </c>
      <c r="B40" t="s">
        <v>124</v>
      </c>
      <c r="C40" t="s">
        <v>12</v>
      </c>
      <c r="D40" t="s">
        <v>13</v>
      </c>
      <c r="E40" t="s">
        <v>41</v>
      </c>
      <c r="F40" t="s">
        <v>93</v>
      </c>
      <c r="G40">
        <v>903543</v>
      </c>
      <c r="H40" t="s">
        <v>75</v>
      </c>
      <c r="I40" t="s">
        <v>47</v>
      </c>
      <c r="J40" t="s">
        <v>50</v>
      </c>
    </row>
    <row r="41" spans="1:10" x14ac:dyDescent="0.25">
      <c r="A41" t="s">
        <v>125</v>
      </c>
      <c r="B41" t="s">
        <v>126</v>
      </c>
      <c r="C41" t="s">
        <v>12</v>
      </c>
      <c r="D41" t="s">
        <v>13</v>
      </c>
      <c r="E41" t="s">
        <v>36</v>
      </c>
      <c r="F41" t="s">
        <v>127</v>
      </c>
      <c r="G41">
        <v>2841568</v>
      </c>
      <c r="H41" t="s">
        <v>75</v>
      </c>
      <c r="I41" t="s">
        <v>30</v>
      </c>
      <c r="J41" t="s">
        <v>50</v>
      </c>
    </row>
    <row r="42" spans="1:10" x14ac:dyDescent="0.25">
      <c r="A42" t="s">
        <v>128</v>
      </c>
      <c r="B42" t="s">
        <v>129</v>
      </c>
      <c r="C42" t="s">
        <v>12</v>
      </c>
      <c r="D42" t="s">
        <v>36</v>
      </c>
      <c r="E42" t="s">
        <v>41</v>
      </c>
      <c r="F42" t="s">
        <v>64</v>
      </c>
      <c r="G42">
        <v>3849128</v>
      </c>
      <c r="H42" t="s">
        <v>24</v>
      </c>
      <c r="I42" t="s">
        <v>54</v>
      </c>
      <c r="J42" t="s">
        <v>18</v>
      </c>
    </row>
    <row r="43" spans="1:10" x14ac:dyDescent="0.25">
      <c r="A43" t="s">
        <v>130</v>
      </c>
      <c r="B43" t="s">
        <v>131</v>
      </c>
      <c r="C43" t="s">
        <v>12</v>
      </c>
      <c r="D43" t="s">
        <v>36</v>
      </c>
      <c r="E43" t="s">
        <v>22</v>
      </c>
      <c r="F43" t="s">
        <v>58</v>
      </c>
      <c r="G43">
        <v>3213026</v>
      </c>
      <c r="H43" t="s">
        <v>29</v>
      </c>
      <c r="I43" t="s">
        <v>30</v>
      </c>
      <c r="J43" t="s">
        <v>16</v>
      </c>
    </row>
    <row r="44" spans="1:10" x14ac:dyDescent="0.25">
      <c r="A44" t="s">
        <v>132</v>
      </c>
      <c r="B44" t="s">
        <v>133</v>
      </c>
      <c r="C44" t="s">
        <v>12</v>
      </c>
      <c r="D44" t="s">
        <v>41</v>
      </c>
      <c r="E44" t="s">
        <v>21</v>
      </c>
      <c r="F44" t="s">
        <v>37</v>
      </c>
      <c r="G44">
        <v>1425023</v>
      </c>
      <c r="H44" t="s">
        <v>29</v>
      </c>
      <c r="I44" t="s">
        <v>30</v>
      </c>
      <c r="J44" t="s">
        <v>82</v>
      </c>
    </row>
    <row r="45" spans="1:10" x14ac:dyDescent="0.25">
      <c r="A45" t="s">
        <v>134</v>
      </c>
      <c r="B45" t="s">
        <v>113</v>
      </c>
      <c r="C45" t="s">
        <v>12</v>
      </c>
      <c r="D45" t="s">
        <v>41</v>
      </c>
      <c r="E45" t="s">
        <v>13</v>
      </c>
      <c r="F45" t="s">
        <v>28</v>
      </c>
      <c r="G45">
        <v>4959327</v>
      </c>
      <c r="H45" t="s">
        <v>46</v>
      </c>
      <c r="I45" t="s">
        <v>17</v>
      </c>
      <c r="J45" t="s">
        <v>16</v>
      </c>
    </row>
    <row r="46" spans="1:10" x14ac:dyDescent="0.25">
      <c r="A46" t="s">
        <v>135</v>
      </c>
      <c r="B46" t="s">
        <v>136</v>
      </c>
      <c r="C46" t="s">
        <v>12</v>
      </c>
      <c r="D46" t="s">
        <v>14</v>
      </c>
      <c r="E46" t="s">
        <v>21</v>
      </c>
      <c r="F46" t="s">
        <v>58</v>
      </c>
      <c r="G46">
        <v>159892</v>
      </c>
      <c r="H46" t="s">
        <v>38</v>
      </c>
      <c r="I46" t="s">
        <v>30</v>
      </c>
      <c r="J46" t="s">
        <v>55</v>
      </c>
    </row>
    <row r="47" spans="1:10" x14ac:dyDescent="0.25">
      <c r="A47" t="s">
        <v>137</v>
      </c>
      <c r="B47" t="s">
        <v>138</v>
      </c>
      <c r="C47" t="s">
        <v>12</v>
      </c>
      <c r="D47" t="s">
        <v>36</v>
      </c>
      <c r="E47" t="s">
        <v>22</v>
      </c>
      <c r="F47" t="s">
        <v>53</v>
      </c>
      <c r="G47">
        <v>4572623</v>
      </c>
      <c r="H47" t="s">
        <v>38</v>
      </c>
      <c r="I47" t="s">
        <v>30</v>
      </c>
      <c r="J47" t="s">
        <v>82</v>
      </c>
    </row>
    <row r="48" spans="1:10" x14ac:dyDescent="0.25">
      <c r="A48" t="s">
        <v>139</v>
      </c>
      <c r="B48" t="s">
        <v>140</v>
      </c>
      <c r="C48" t="s">
        <v>12</v>
      </c>
      <c r="D48" t="s">
        <v>41</v>
      </c>
      <c r="E48" t="s">
        <v>44</v>
      </c>
      <c r="F48" t="s">
        <v>58</v>
      </c>
      <c r="G48">
        <v>1463445</v>
      </c>
      <c r="H48" t="s">
        <v>46</v>
      </c>
      <c r="I48" t="s">
        <v>17</v>
      </c>
      <c r="J48" t="s">
        <v>82</v>
      </c>
    </row>
    <row r="49" spans="1:10" x14ac:dyDescent="0.25">
      <c r="A49" t="s">
        <v>141</v>
      </c>
      <c r="B49" t="s">
        <v>142</v>
      </c>
      <c r="C49" t="s">
        <v>12</v>
      </c>
      <c r="D49" t="s">
        <v>27</v>
      </c>
      <c r="E49" t="s">
        <v>14</v>
      </c>
      <c r="F49" t="s">
        <v>37</v>
      </c>
      <c r="G49">
        <v>3116241</v>
      </c>
      <c r="H49" t="s">
        <v>24</v>
      </c>
      <c r="I49" t="s">
        <v>54</v>
      </c>
      <c r="J49" t="s">
        <v>24</v>
      </c>
    </row>
    <row r="50" spans="1:10" x14ac:dyDescent="0.25">
      <c r="A50" t="s">
        <v>143</v>
      </c>
      <c r="B50" t="s">
        <v>144</v>
      </c>
      <c r="C50" t="s">
        <v>12</v>
      </c>
      <c r="D50" t="s">
        <v>13</v>
      </c>
      <c r="E50" t="s">
        <v>21</v>
      </c>
      <c r="F50" t="s">
        <v>23</v>
      </c>
      <c r="G50">
        <v>4976207</v>
      </c>
      <c r="H50" t="s">
        <v>46</v>
      </c>
      <c r="I50" t="s">
        <v>30</v>
      </c>
      <c r="J50" t="s">
        <v>24</v>
      </c>
    </row>
    <row r="51" spans="1:10" x14ac:dyDescent="0.25">
      <c r="A51" t="s">
        <v>145</v>
      </c>
      <c r="B51" t="s">
        <v>146</v>
      </c>
      <c r="C51" t="s">
        <v>12</v>
      </c>
      <c r="D51" t="s">
        <v>44</v>
      </c>
      <c r="E51" t="s">
        <v>14</v>
      </c>
      <c r="F51" t="s">
        <v>69</v>
      </c>
      <c r="G51">
        <v>2003997</v>
      </c>
      <c r="H51" t="s">
        <v>29</v>
      </c>
      <c r="I51" t="s">
        <v>47</v>
      </c>
      <c r="J51" t="s">
        <v>59</v>
      </c>
    </row>
    <row r="52" spans="1:10" x14ac:dyDescent="0.25">
      <c r="A52" t="s">
        <v>147</v>
      </c>
      <c r="B52" t="s">
        <v>148</v>
      </c>
      <c r="C52" t="s">
        <v>12</v>
      </c>
      <c r="D52" t="s">
        <v>27</v>
      </c>
      <c r="E52" t="s">
        <v>22</v>
      </c>
      <c r="F52" t="s">
        <v>58</v>
      </c>
      <c r="G52">
        <v>847413</v>
      </c>
      <c r="H52" t="s">
        <v>24</v>
      </c>
      <c r="I52" t="s">
        <v>30</v>
      </c>
      <c r="J52" t="s">
        <v>55</v>
      </c>
    </row>
    <row r="53" spans="1:10" x14ac:dyDescent="0.25">
      <c r="A53" t="s">
        <v>149</v>
      </c>
      <c r="B53" t="s">
        <v>150</v>
      </c>
      <c r="C53" t="s">
        <v>12</v>
      </c>
      <c r="D53" t="s">
        <v>27</v>
      </c>
      <c r="E53" t="s">
        <v>41</v>
      </c>
      <c r="F53" t="s">
        <v>127</v>
      </c>
      <c r="G53">
        <v>2662323</v>
      </c>
      <c r="H53" t="s">
        <v>24</v>
      </c>
      <c r="I53" t="s">
        <v>47</v>
      </c>
      <c r="J53" t="s">
        <v>55</v>
      </c>
    </row>
    <row r="54" spans="1:10" x14ac:dyDescent="0.25">
      <c r="A54" t="s">
        <v>151</v>
      </c>
      <c r="B54" t="s">
        <v>152</v>
      </c>
      <c r="C54" t="s">
        <v>12</v>
      </c>
      <c r="D54" t="s">
        <v>22</v>
      </c>
      <c r="E54" t="s">
        <v>13</v>
      </c>
      <c r="F54" t="s">
        <v>69</v>
      </c>
      <c r="G54">
        <v>1740963</v>
      </c>
      <c r="H54" t="s">
        <v>46</v>
      </c>
      <c r="I54" t="s">
        <v>30</v>
      </c>
      <c r="J54" t="s">
        <v>18</v>
      </c>
    </row>
    <row r="55" spans="1:10" x14ac:dyDescent="0.25">
      <c r="A55" t="s">
        <v>153</v>
      </c>
      <c r="B55" t="s">
        <v>154</v>
      </c>
      <c r="C55" t="s">
        <v>12</v>
      </c>
      <c r="D55" t="s">
        <v>44</v>
      </c>
      <c r="E55" t="s">
        <v>13</v>
      </c>
      <c r="F55" t="s">
        <v>93</v>
      </c>
      <c r="G55">
        <v>2344369</v>
      </c>
      <c r="H55" t="s">
        <v>29</v>
      </c>
      <c r="I55" t="s">
        <v>30</v>
      </c>
      <c r="J55" t="s">
        <v>18</v>
      </c>
    </row>
    <row r="56" spans="1:10" x14ac:dyDescent="0.25">
      <c r="A56" t="s">
        <v>155</v>
      </c>
      <c r="B56" t="s">
        <v>156</v>
      </c>
      <c r="C56" t="s">
        <v>12</v>
      </c>
      <c r="D56" t="s">
        <v>13</v>
      </c>
      <c r="E56" t="s">
        <v>41</v>
      </c>
      <c r="F56" t="s">
        <v>23</v>
      </c>
      <c r="G56">
        <v>2054047</v>
      </c>
      <c r="H56" t="s">
        <v>29</v>
      </c>
      <c r="I56" t="s">
        <v>54</v>
      </c>
      <c r="J56" t="s">
        <v>59</v>
      </c>
    </row>
    <row r="57" spans="1:10" x14ac:dyDescent="0.25">
      <c r="A57" t="s">
        <v>157</v>
      </c>
      <c r="B57" t="s">
        <v>158</v>
      </c>
      <c r="C57" t="s">
        <v>12</v>
      </c>
      <c r="D57" t="s">
        <v>44</v>
      </c>
      <c r="E57" t="s">
        <v>21</v>
      </c>
      <c r="F57" t="s">
        <v>45</v>
      </c>
      <c r="G57">
        <v>4985749</v>
      </c>
      <c r="H57" t="s">
        <v>46</v>
      </c>
      <c r="I57" t="s">
        <v>47</v>
      </c>
      <c r="J57" t="s">
        <v>50</v>
      </c>
    </row>
    <row r="58" spans="1:10" x14ac:dyDescent="0.25">
      <c r="A58" t="s">
        <v>159</v>
      </c>
      <c r="B58" t="s">
        <v>154</v>
      </c>
      <c r="C58" t="s">
        <v>12</v>
      </c>
      <c r="D58" t="s">
        <v>13</v>
      </c>
      <c r="E58" t="s">
        <v>14</v>
      </c>
      <c r="F58" t="s">
        <v>69</v>
      </c>
      <c r="G58">
        <v>4903970</v>
      </c>
      <c r="H58" t="s">
        <v>24</v>
      </c>
      <c r="I58" t="s">
        <v>30</v>
      </c>
      <c r="J58" t="s">
        <v>55</v>
      </c>
    </row>
    <row r="59" spans="1:10" x14ac:dyDescent="0.25">
      <c r="A59" t="s">
        <v>160</v>
      </c>
      <c r="B59" t="s">
        <v>161</v>
      </c>
      <c r="C59" t="s">
        <v>12</v>
      </c>
      <c r="D59" t="s">
        <v>13</v>
      </c>
      <c r="E59" t="s">
        <v>41</v>
      </c>
      <c r="F59" t="s">
        <v>127</v>
      </c>
      <c r="G59">
        <v>2488902</v>
      </c>
      <c r="H59" t="s">
        <v>75</v>
      </c>
      <c r="I59" t="s">
        <v>17</v>
      </c>
      <c r="J59" t="s">
        <v>24</v>
      </c>
    </row>
    <row r="60" spans="1:10" x14ac:dyDescent="0.25">
      <c r="A60" t="s">
        <v>162</v>
      </c>
      <c r="B60" t="s">
        <v>79</v>
      </c>
      <c r="C60" t="s">
        <v>12</v>
      </c>
      <c r="D60" t="s">
        <v>13</v>
      </c>
      <c r="E60" t="s">
        <v>44</v>
      </c>
      <c r="F60" t="s">
        <v>53</v>
      </c>
      <c r="G60">
        <v>3168194</v>
      </c>
      <c r="H60" t="s">
        <v>16</v>
      </c>
      <c r="I60" t="s">
        <v>54</v>
      </c>
      <c r="J60" t="s">
        <v>59</v>
      </c>
    </row>
    <row r="61" spans="1:10" x14ac:dyDescent="0.25">
      <c r="A61" t="s">
        <v>163</v>
      </c>
      <c r="B61" t="s">
        <v>164</v>
      </c>
      <c r="C61" t="s">
        <v>12</v>
      </c>
      <c r="D61" t="s">
        <v>22</v>
      </c>
      <c r="E61" t="s">
        <v>44</v>
      </c>
      <c r="F61" t="s">
        <v>15</v>
      </c>
      <c r="G61">
        <v>2435315</v>
      </c>
      <c r="H61" t="s">
        <v>46</v>
      </c>
      <c r="I61" t="s">
        <v>47</v>
      </c>
      <c r="J61" t="s">
        <v>55</v>
      </c>
    </row>
    <row r="62" spans="1:10" x14ac:dyDescent="0.25">
      <c r="A62" t="s">
        <v>165</v>
      </c>
      <c r="B62" t="s">
        <v>166</v>
      </c>
      <c r="C62" t="s">
        <v>12</v>
      </c>
      <c r="D62" t="s">
        <v>14</v>
      </c>
      <c r="E62" t="s">
        <v>13</v>
      </c>
      <c r="F62" t="s">
        <v>28</v>
      </c>
      <c r="G62">
        <v>395136</v>
      </c>
      <c r="H62" t="s">
        <v>29</v>
      </c>
      <c r="I62" t="s">
        <v>47</v>
      </c>
      <c r="J62" t="s">
        <v>24</v>
      </c>
    </row>
    <row r="63" spans="1:10" x14ac:dyDescent="0.25">
      <c r="A63" t="s">
        <v>167</v>
      </c>
      <c r="B63" t="s">
        <v>168</v>
      </c>
      <c r="C63" t="s">
        <v>12</v>
      </c>
      <c r="D63" t="s">
        <v>41</v>
      </c>
      <c r="E63" t="s">
        <v>21</v>
      </c>
      <c r="F63" t="s">
        <v>37</v>
      </c>
      <c r="G63">
        <v>3810173</v>
      </c>
      <c r="H63" t="s">
        <v>75</v>
      </c>
      <c r="I63" t="s">
        <v>54</v>
      </c>
      <c r="J63" t="s">
        <v>16</v>
      </c>
    </row>
    <row r="64" spans="1:10" x14ac:dyDescent="0.25">
      <c r="A64" t="s">
        <v>169</v>
      </c>
      <c r="B64" t="s">
        <v>170</v>
      </c>
      <c r="C64" t="s">
        <v>12</v>
      </c>
      <c r="D64" t="s">
        <v>41</v>
      </c>
      <c r="E64" t="s">
        <v>36</v>
      </c>
      <c r="F64" t="s">
        <v>64</v>
      </c>
      <c r="G64">
        <v>3414663</v>
      </c>
      <c r="H64" t="s">
        <v>46</v>
      </c>
      <c r="I64" t="s">
        <v>30</v>
      </c>
      <c r="J64" t="s">
        <v>18</v>
      </c>
    </row>
    <row r="65" spans="1:10" x14ac:dyDescent="0.25">
      <c r="A65" t="s">
        <v>171</v>
      </c>
      <c r="B65" t="s">
        <v>35</v>
      </c>
      <c r="C65" t="s">
        <v>12</v>
      </c>
      <c r="D65" t="s">
        <v>41</v>
      </c>
      <c r="E65" t="s">
        <v>27</v>
      </c>
      <c r="F65" t="s">
        <v>15</v>
      </c>
      <c r="G65">
        <v>1531481</v>
      </c>
      <c r="H65" t="s">
        <v>75</v>
      </c>
      <c r="I65" t="s">
        <v>47</v>
      </c>
      <c r="J65" t="s">
        <v>55</v>
      </c>
    </row>
    <row r="66" spans="1:10" x14ac:dyDescent="0.25">
      <c r="A66" t="s">
        <v>172</v>
      </c>
      <c r="B66" t="s">
        <v>173</v>
      </c>
      <c r="C66" t="s">
        <v>12</v>
      </c>
      <c r="D66" t="s">
        <v>21</v>
      </c>
      <c r="E66" t="s">
        <v>41</v>
      </c>
      <c r="F66" t="s">
        <v>53</v>
      </c>
      <c r="G66">
        <v>2650871</v>
      </c>
      <c r="H66" t="s">
        <v>75</v>
      </c>
      <c r="I66" t="s">
        <v>54</v>
      </c>
      <c r="J66" t="s">
        <v>18</v>
      </c>
    </row>
    <row r="67" spans="1:10" x14ac:dyDescent="0.25">
      <c r="A67" t="s">
        <v>174</v>
      </c>
      <c r="B67" t="s">
        <v>175</v>
      </c>
      <c r="C67" t="s">
        <v>12</v>
      </c>
      <c r="D67" t="s">
        <v>13</v>
      </c>
      <c r="E67" t="s">
        <v>36</v>
      </c>
      <c r="F67" t="s">
        <v>45</v>
      </c>
      <c r="G67">
        <v>3483278</v>
      </c>
      <c r="H67" t="s">
        <v>29</v>
      </c>
      <c r="I67" t="s">
        <v>30</v>
      </c>
      <c r="J67" t="s">
        <v>82</v>
      </c>
    </row>
    <row r="68" spans="1:10" x14ac:dyDescent="0.25">
      <c r="A68" t="s">
        <v>176</v>
      </c>
      <c r="B68" t="s">
        <v>177</v>
      </c>
      <c r="C68" t="s">
        <v>12</v>
      </c>
      <c r="D68" t="s">
        <v>13</v>
      </c>
      <c r="E68" t="s">
        <v>41</v>
      </c>
      <c r="F68" t="s">
        <v>58</v>
      </c>
      <c r="G68">
        <v>1422617</v>
      </c>
      <c r="H68" t="s">
        <v>24</v>
      </c>
      <c r="I68" t="s">
        <v>17</v>
      </c>
      <c r="J68" t="s">
        <v>24</v>
      </c>
    </row>
    <row r="69" spans="1:10" x14ac:dyDescent="0.25">
      <c r="A69" t="s">
        <v>178</v>
      </c>
      <c r="B69" t="s">
        <v>179</v>
      </c>
      <c r="C69" t="s">
        <v>12</v>
      </c>
      <c r="D69" t="s">
        <v>36</v>
      </c>
      <c r="E69" t="s">
        <v>13</v>
      </c>
      <c r="F69" t="s">
        <v>58</v>
      </c>
      <c r="G69">
        <v>4786094</v>
      </c>
      <c r="H69" t="s">
        <v>46</v>
      </c>
      <c r="I69" t="s">
        <v>17</v>
      </c>
      <c r="J69" t="s">
        <v>50</v>
      </c>
    </row>
    <row r="70" spans="1:10" x14ac:dyDescent="0.25">
      <c r="A70" t="s">
        <v>180</v>
      </c>
      <c r="B70" t="s">
        <v>181</v>
      </c>
      <c r="C70" t="s">
        <v>12</v>
      </c>
      <c r="D70" t="s">
        <v>27</v>
      </c>
      <c r="E70" t="s">
        <v>14</v>
      </c>
      <c r="F70" t="s">
        <v>53</v>
      </c>
      <c r="G70">
        <v>4923780</v>
      </c>
      <c r="H70" t="s">
        <v>29</v>
      </c>
      <c r="I70" t="s">
        <v>17</v>
      </c>
      <c r="J70" t="s">
        <v>59</v>
      </c>
    </row>
    <row r="71" spans="1:10" x14ac:dyDescent="0.25">
      <c r="A71" t="s">
        <v>182</v>
      </c>
      <c r="B71" t="s">
        <v>183</v>
      </c>
      <c r="C71" t="s">
        <v>12</v>
      </c>
      <c r="D71" t="s">
        <v>27</v>
      </c>
      <c r="E71" t="s">
        <v>22</v>
      </c>
      <c r="F71" t="s">
        <v>93</v>
      </c>
      <c r="G71">
        <v>4720247</v>
      </c>
      <c r="H71" t="s">
        <v>46</v>
      </c>
      <c r="I71" t="s">
        <v>30</v>
      </c>
      <c r="J71" t="s">
        <v>50</v>
      </c>
    </row>
    <row r="72" spans="1:10" x14ac:dyDescent="0.25">
      <c r="A72" t="s">
        <v>184</v>
      </c>
      <c r="B72" t="s">
        <v>185</v>
      </c>
      <c r="C72" t="s">
        <v>186</v>
      </c>
      <c r="D72" t="s">
        <v>14</v>
      </c>
      <c r="E72" t="s">
        <v>36</v>
      </c>
      <c r="F72" t="s">
        <v>187</v>
      </c>
      <c r="G72">
        <v>2759515</v>
      </c>
      <c r="H72" t="s">
        <v>29</v>
      </c>
      <c r="I72" t="s">
        <v>54</v>
      </c>
      <c r="J72" t="s">
        <v>50</v>
      </c>
    </row>
    <row r="73" spans="1:10" x14ac:dyDescent="0.25">
      <c r="A73" t="s">
        <v>188</v>
      </c>
      <c r="B73" t="s">
        <v>185</v>
      </c>
      <c r="C73" t="s">
        <v>186</v>
      </c>
      <c r="D73" t="s">
        <v>41</v>
      </c>
      <c r="E73" t="s">
        <v>41</v>
      </c>
      <c r="F73" t="s">
        <v>189</v>
      </c>
      <c r="G73">
        <v>4100496</v>
      </c>
      <c r="H73" t="s">
        <v>24</v>
      </c>
      <c r="I73" t="s">
        <v>30</v>
      </c>
      <c r="J73" t="s">
        <v>24</v>
      </c>
    </row>
    <row r="74" spans="1:10" x14ac:dyDescent="0.25">
      <c r="A74" t="s">
        <v>190</v>
      </c>
      <c r="B74" t="s">
        <v>191</v>
      </c>
      <c r="C74" t="s">
        <v>186</v>
      </c>
      <c r="D74" t="s">
        <v>21</v>
      </c>
      <c r="E74" t="s">
        <v>22</v>
      </c>
      <c r="F74" t="s">
        <v>192</v>
      </c>
      <c r="G74">
        <v>828926</v>
      </c>
      <c r="H74" t="s">
        <v>75</v>
      </c>
      <c r="I74" t="s">
        <v>47</v>
      </c>
      <c r="J74" t="s">
        <v>18</v>
      </c>
    </row>
    <row r="75" spans="1:10" x14ac:dyDescent="0.25">
      <c r="A75" t="s">
        <v>193</v>
      </c>
      <c r="B75" t="s">
        <v>194</v>
      </c>
      <c r="C75" t="s">
        <v>186</v>
      </c>
      <c r="D75" t="s">
        <v>44</v>
      </c>
      <c r="E75" t="s">
        <v>14</v>
      </c>
      <c r="F75" t="s">
        <v>187</v>
      </c>
      <c r="G75">
        <v>854531</v>
      </c>
      <c r="H75" t="s">
        <v>16</v>
      </c>
      <c r="I75" t="s">
        <v>17</v>
      </c>
      <c r="J75" t="s">
        <v>55</v>
      </c>
    </row>
    <row r="76" spans="1:10" x14ac:dyDescent="0.25">
      <c r="A76" t="s">
        <v>195</v>
      </c>
      <c r="B76" t="s">
        <v>196</v>
      </c>
      <c r="C76" t="s">
        <v>186</v>
      </c>
      <c r="D76" t="s">
        <v>36</v>
      </c>
      <c r="E76" t="s">
        <v>44</v>
      </c>
      <c r="F76" t="s">
        <v>192</v>
      </c>
      <c r="G76">
        <v>1210417</v>
      </c>
      <c r="H76" t="s">
        <v>16</v>
      </c>
      <c r="I76" t="s">
        <v>30</v>
      </c>
      <c r="J76" t="s">
        <v>50</v>
      </c>
    </row>
    <row r="77" spans="1:10" x14ac:dyDescent="0.25">
      <c r="A77" t="s">
        <v>197</v>
      </c>
      <c r="B77" t="s">
        <v>198</v>
      </c>
      <c r="C77" t="s">
        <v>186</v>
      </c>
      <c r="D77" t="s">
        <v>44</v>
      </c>
      <c r="E77" t="s">
        <v>36</v>
      </c>
      <c r="F77" t="s">
        <v>199</v>
      </c>
      <c r="G77">
        <v>4258069</v>
      </c>
      <c r="H77" t="s">
        <v>24</v>
      </c>
      <c r="I77" t="s">
        <v>47</v>
      </c>
      <c r="J77" t="s">
        <v>59</v>
      </c>
    </row>
    <row r="78" spans="1:10" x14ac:dyDescent="0.25">
      <c r="A78" t="s">
        <v>200</v>
      </c>
      <c r="B78" t="s">
        <v>201</v>
      </c>
      <c r="C78" t="s">
        <v>186</v>
      </c>
      <c r="D78" t="s">
        <v>36</v>
      </c>
      <c r="E78" t="s">
        <v>21</v>
      </c>
      <c r="F78" t="s">
        <v>192</v>
      </c>
      <c r="G78">
        <v>762480</v>
      </c>
      <c r="H78" t="s">
        <v>75</v>
      </c>
      <c r="I78" t="s">
        <v>17</v>
      </c>
      <c r="J78" t="s">
        <v>59</v>
      </c>
    </row>
    <row r="79" spans="1:10" x14ac:dyDescent="0.25">
      <c r="A79" t="s">
        <v>202</v>
      </c>
      <c r="B79" t="s">
        <v>203</v>
      </c>
      <c r="C79" t="s">
        <v>186</v>
      </c>
      <c r="D79" t="s">
        <v>44</v>
      </c>
      <c r="E79" t="s">
        <v>22</v>
      </c>
      <c r="F79" t="s">
        <v>189</v>
      </c>
      <c r="G79">
        <v>348528</v>
      </c>
      <c r="H79" t="s">
        <v>46</v>
      </c>
      <c r="I79" t="s">
        <v>54</v>
      </c>
      <c r="J79" t="s">
        <v>55</v>
      </c>
    </row>
    <row r="80" spans="1:10" x14ac:dyDescent="0.25">
      <c r="A80" t="s">
        <v>204</v>
      </c>
      <c r="B80" t="s">
        <v>205</v>
      </c>
      <c r="C80" t="s">
        <v>186</v>
      </c>
      <c r="D80" t="s">
        <v>13</v>
      </c>
      <c r="E80" t="s">
        <v>27</v>
      </c>
      <c r="F80" t="s">
        <v>199</v>
      </c>
      <c r="G80">
        <v>4560169</v>
      </c>
      <c r="H80" t="s">
        <v>75</v>
      </c>
      <c r="I80" t="s">
        <v>30</v>
      </c>
      <c r="J80" t="s">
        <v>16</v>
      </c>
    </row>
    <row r="81" spans="1:10" x14ac:dyDescent="0.25">
      <c r="A81" t="s">
        <v>206</v>
      </c>
      <c r="B81" t="s">
        <v>207</v>
      </c>
      <c r="C81" t="s">
        <v>186</v>
      </c>
      <c r="D81" t="s">
        <v>41</v>
      </c>
      <c r="E81" t="s">
        <v>22</v>
      </c>
      <c r="F81" t="s">
        <v>192</v>
      </c>
      <c r="G81">
        <v>4757877</v>
      </c>
      <c r="H81" t="s">
        <v>38</v>
      </c>
      <c r="I81" t="s">
        <v>54</v>
      </c>
      <c r="J81" t="s">
        <v>82</v>
      </c>
    </row>
    <row r="82" spans="1:10" x14ac:dyDescent="0.25">
      <c r="A82" t="s">
        <v>208</v>
      </c>
      <c r="B82" t="s">
        <v>209</v>
      </c>
      <c r="C82" t="s">
        <v>186</v>
      </c>
      <c r="D82" t="s">
        <v>22</v>
      </c>
      <c r="E82" t="s">
        <v>22</v>
      </c>
      <c r="F82" t="s">
        <v>187</v>
      </c>
      <c r="G82">
        <v>3314793</v>
      </c>
      <c r="H82" t="s">
        <v>46</v>
      </c>
      <c r="I82" t="s">
        <v>47</v>
      </c>
      <c r="J82" t="s">
        <v>82</v>
      </c>
    </row>
    <row r="83" spans="1:10" x14ac:dyDescent="0.25">
      <c r="A83" t="s">
        <v>210</v>
      </c>
      <c r="B83" t="s">
        <v>211</v>
      </c>
      <c r="C83" t="s">
        <v>186</v>
      </c>
      <c r="D83" t="s">
        <v>22</v>
      </c>
      <c r="E83" t="s">
        <v>44</v>
      </c>
      <c r="F83" t="s">
        <v>199</v>
      </c>
      <c r="G83">
        <v>723372</v>
      </c>
      <c r="H83" t="s">
        <v>24</v>
      </c>
      <c r="I83" t="s">
        <v>47</v>
      </c>
      <c r="J83" t="s">
        <v>55</v>
      </c>
    </row>
    <row r="84" spans="1:10" x14ac:dyDescent="0.25">
      <c r="A84" t="s">
        <v>212</v>
      </c>
      <c r="B84" t="s">
        <v>213</v>
      </c>
      <c r="C84" t="s">
        <v>186</v>
      </c>
      <c r="D84" t="s">
        <v>22</v>
      </c>
      <c r="E84" t="s">
        <v>22</v>
      </c>
      <c r="F84" t="s">
        <v>189</v>
      </c>
      <c r="G84">
        <v>1808592</v>
      </c>
      <c r="H84" t="s">
        <v>46</v>
      </c>
      <c r="I84" t="s">
        <v>30</v>
      </c>
      <c r="J84" t="s">
        <v>18</v>
      </c>
    </row>
    <row r="85" spans="1:10" x14ac:dyDescent="0.25">
      <c r="A85" t="s">
        <v>214</v>
      </c>
      <c r="B85" t="s">
        <v>215</v>
      </c>
      <c r="C85" t="s">
        <v>186</v>
      </c>
      <c r="D85" t="s">
        <v>22</v>
      </c>
      <c r="E85" t="s">
        <v>21</v>
      </c>
      <c r="F85" t="s">
        <v>187</v>
      </c>
      <c r="G85">
        <v>4566040</v>
      </c>
      <c r="H85" t="s">
        <v>46</v>
      </c>
      <c r="I85" t="s">
        <v>47</v>
      </c>
      <c r="J85" t="s">
        <v>59</v>
      </c>
    </row>
    <row r="86" spans="1:10" x14ac:dyDescent="0.25">
      <c r="A86" t="s">
        <v>216</v>
      </c>
      <c r="B86" t="s">
        <v>201</v>
      </c>
      <c r="C86" t="s">
        <v>186</v>
      </c>
      <c r="D86" t="s">
        <v>27</v>
      </c>
      <c r="E86" t="s">
        <v>27</v>
      </c>
      <c r="F86" t="s">
        <v>217</v>
      </c>
      <c r="G86">
        <v>1831177</v>
      </c>
      <c r="H86" t="s">
        <v>75</v>
      </c>
      <c r="I86" t="s">
        <v>30</v>
      </c>
      <c r="J86" t="s">
        <v>16</v>
      </c>
    </row>
    <row r="87" spans="1:10" x14ac:dyDescent="0.25">
      <c r="A87" t="s">
        <v>218</v>
      </c>
      <c r="B87" t="s">
        <v>219</v>
      </c>
      <c r="C87" t="s">
        <v>186</v>
      </c>
      <c r="D87" t="s">
        <v>13</v>
      </c>
      <c r="E87" t="s">
        <v>41</v>
      </c>
      <c r="F87" t="s">
        <v>217</v>
      </c>
      <c r="G87">
        <v>3617901</v>
      </c>
      <c r="H87" t="s">
        <v>46</v>
      </c>
      <c r="I87" t="s">
        <v>54</v>
      </c>
      <c r="J87" t="s">
        <v>24</v>
      </c>
    </row>
    <row r="88" spans="1:10" x14ac:dyDescent="0.25">
      <c r="A88" t="s">
        <v>220</v>
      </c>
      <c r="B88" t="s">
        <v>221</v>
      </c>
      <c r="C88" t="s">
        <v>186</v>
      </c>
      <c r="D88" t="s">
        <v>21</v>
      </c>
      <c r="E88" t="s">
        <v>44</v>
      </c>
      <c r="F88" t="s">
        <v>189</v>
      </c>
      <c r="G88">
        <v>684257</v>
      </c>
      <c r="H88" t="s">
        <v>24</v>
      </c>
      <c r="I88" t="s">
        <v>47</v>
      </c>
      <c r="J88" t="s">
        <v>50</v>
      </c>
    </row>
    <row r="89" spans="1:10" x14ac:dyDescent="0.25">
      <c r="A89" t="s">
        <v>222</v>
      </c>
      <c r="B89" t="s">
        <v>223</v>
      </c>
      <c r="C89" t="s">
        <v>186</v>
      </c>
      <c r="D89" t="s">
        <v>22</v>
      </c>
      <c r="E89" t="s">
        <v>21</v>
      </c>
      <c r="F89" t="s">
        <v>189</v>
      </c>
      <c r="G89">
        <v>412258</v>
      </c>
      <c r="H89" t="s">
        <v>16</v>
      </c>
      <c r="I89" t="s">
        <v>47</v>
      </c>
      <c r="J89" t="s">
        <v>50</v>
      </c>
    </row>
    <row r="90" spans="1:10" x14ac:dyDescent="0.25">
      <c r="A90" t="s">
        <v>224</v>
      </c>
      <c r="B90" t="s">
        <v>219</v>
      </c>
      <c r="C90" t="s">
        <v>186</v>
      </c>
      <c r="D90" t="s">
        <v>22</v>
      </c>
      <c r="E90" t="s">
        <v>44</v>
      </c>
      <c r="F90" t="s">
        <v>199</v>
      </c>
      <c r="G90">
        <v>1159441</v>
      </c>
      <c r="H90" t="s">
        <v>46</v>
      </c>
      <c r="I90" t="s">
        <v>54</v>
      </c>
      <c r="J90" t="s">
        <v>50</v>
      </c>
    </row>
    <row r="91" spans="1:10" x14ac:dyDescent="0.25">
      <c r="A91" t="s">
        <v>225</v>
      </c>
      <c r="B91" t="s">
        <v>226</v>
      </c>
      <c r="C91" t="s">
        <v>186</v>
      </c>
      <c r="D91" t="s">
        <v>41</v>
      </c>
      <c r="E91" t="s">
        <v>21</v>
      </c>
      <c r="F91" t="s">
        <v>217</v>
      </c>
      <c r="G91">
        <v>1526648</v>
      </c>
      <c r="H91" t="s">
        <v>16</v>
      </c>
      <c r="I91" t="s">
        <v>47</v>
      </c>
      <c r="J91" t="s">
        <v>24</v>
      </c>
    </row>
    <row r="92" spans="1:10" x14ac:dyDescent="0.25">
      <c r="A92" t="s">
        <v>227</v>
      </c>
      <c r="B92" t="s">
        <v>228</v>
      </c>
      <c r="C92" t="s">
        <v>229</v>
      </c>
      <c r="D92" t="s">
        <v>13</v>
      </c>
      <c r="E92" t="s">
        <v>22</v>
      </c>
      <c r="F92" t="s">
        <v>230</v>
      </c>
      <c r="G92">
        <v>3380477</v>
      </c>
      <c r="H92" t="s">
        <v>75</v>
      </c>
      <c r="I92" t="s">
        <v>47</v>
      </c>
      <c r="J92" t="s">
        <v>82</v>
      </c>
    </row>
    <row r="93" spans="1:10" x14ac:dyDescent="0.25">
      <c r="A93" t="s">
        <v>231</v>
      </c>
      <c r="B93" t="s">
        <v>232</v>
      </c>
      <c r="C93" t="s">
        <v>229</v>
      </c>
      <c r="D93" t="s">
        <v>36</v>
      </c>
      <c r="E93" t="s">
        <v>22</v>
      </c>
      <c r="F93" t="s">
        <v>230</v>
      </c>
      <c r="G93">
        <v>1762490</v>
      </c>
      <c r="H93" t="s">
        <v>75</v>
      </c>
      <c r="I93" t="s">
        <v>30</v>
      </c>
      <c r="J93" t="s">
        <v>50</v>
      </c>
    </row>
    <row r="94" spans="1:10" x14ac:dyDescent="0.25">
      <c r="A94" t="s">
        <v>233</v>
      </c>
      <c r="B94" t="s">
        <v>234</v>
      </c>
      <c r="C94" t="s">
        <v>229</v>
      </c>
      <c r="D94" t="s">
        <v>21</v>
      </c>
      <c r="E94" t="s">
        <v>14</v>
      </c>
      <c r="F94" t="s">
        <v>230</v>
      </c>
      <c r="G94">
        <v>4369812</v>
      </c>
      <c r="H94" t="s">
        <v>75</v>
      </c>
      <c r="I94" t="s">
        <v>30</v>
      </c>
      <c r="J94" t="s">
        <v>82</v>
      </c>
    </row>
    <row r="95" spans="1:10" x14ac:dyDescent="0.25">
      <c r="A95" t="s">
        <v>235</v>
      </c>
      <c r="B95" t="s">
        <v>232</v>
      </c>
      <c r="C95" t="s">
        <v>229</v>
      </c>
      <c r="D95" t="s">
        <v>14</v>
      </c>
      <c r="E95" t="s">
        <v>21</v>
      </c>
      <c r="F95" t="s">
        <v>230</v>
      </c>
      <c r="G95">
        <v>3542623</v>
      </c>
      <c r="H95" t="s">
        <v>46</v>
      </c>
      <c r="I95" t="s">
        <v>54</v>
      </c>
      <c r="J95" t="s">
        <v>50</v>
      </c>
    </row>
    <row r="96" spans="1:10" x14ac:dyDescent="0.25">
      <c r="A96" t="s">
        <v>236</v>
      </c>
      <c r="B96" t="s">
        <v>237</v>
      </c>
      <c r="C96" t="s">
        <v>229</v>
      </c>
      <c r="D96" t="s">
        <v>27</v>
      </c>
      <c r="E96" t="s">
        <v>36</v>
      </c>
      <c r="F96" t="s">
        <v>230</v>
      </c>
      <c r="G96">
        <v>583682</v>
      </c>
      <c r="H96" t="s">
        <v>46</v>
      </c>
      <c r="I96" t="s">
        <v>30</v>
      </c>
      <c r="J96" t="s">
        <v>18</v>
      </c>
    </row>
    <row r="97" spans="1:10" x14ac:dyDescent="0.25">
      <c r="A97" t="s">
        <v>238</v>
      </c>
      <c r="B97" t="s">
        <v>228</v>
      </c>
      <c r="C97" t="s">
        <v>229</v>
      </c>
      <c r="D97" t="s">
        <v>22</v>
      </c>
      <c r="E97" t="s">
        <v>21</v>
      </c>
      <c r="F97" t="s">
        <v>230</v>
      </c>
      <c r="G97">
        <v>3376135</v>
      </c>
      <c r="H97" t="s">
        <v>29</v>
      </c>
      <c r="I97" t="s">
        <v>47</v>
      </c>
      <c r="J97" t="s">
        <v>18</v>
      </c>
    </row>
    <row r="98" spans="1:10" x14ac:dyDescent="0.25">
      <c r="A98" t="s">
        <v>239</v>
      </c>
      <c r="B98" t="s">
        <v>234</v>
      </c>
      <c r="C98" t="s">
        <v>229</v>
      </c>
      <c r="D98" t="s">
        <v>44</v>
      </c>
      <c r="E98" t="s">
        <v>36</v>
      </c>
      <c r="F98" t="s">
        <v>230</v>
      </c>
      <c r="G98">
        <v>3892683</v>
      </c>
      <c r="H98" t="s">
        <v>75</v>
      </c>
      <c r="I98" t="s">
        <v>47</v>
      </c>
      <c r="J98" t="s">
        <v>82</v>
      </c>
    </row>
    <row r="99" spans="1:10" x14ac:dyDescent="0.25">
      <c r="A99" t="s">
        <v>240</v>
      </c>
      <c r="B99" t="s">
        <v>237</v>
      </c>
      <c r="C99" t="s">
        <v>229</v>
      </c>
      <c r="D99" t="s">
        <v>14</v>
      </c>
      <c r="E99" t="s">
        <v>22</v>
      </c>
      <c r="F99" t="s">
        <v>230</v>
      </c>
      <c r="G99">
        <v>1649639</v>
      </c>
      <c r="H99" t="s">
        <v>75</v>
      </c>
      <c r="I99" t="s">
        <v>54</v>
      </c>
      <c r="J99" t="s">
        <v>50</v>
      </c>
    </row>
    <row r="100" spans="1:10" x14ac:dyDescent="0.25">
      <c r="A100" t="s">
        <v>241</v>
      </c>
      <c r="B100" t="s">
        <v>228</v>
      </c>
      <c r="C100" t="s">
        <v>229</v>
      </c>
      <c r="D100" t="s">
        <v>21</v>
      </c>
      <c r="E100" t="s">
        <v>44</v>
      </c>
      <c r="F100" t="s">
        <v>230</v>
      </c>
      <c r="G100">
        <v>178741</v>
      </c>
      <c r="H100" t="s">
        <v>75</v>
      </c>
      <c r="I100" t="s">
        <v>17</v>
      </c>
      <c r="J100" t="s">
        <v>18</v>
      </c>
    </row>
    <row r="101" spans="1:10" x14ac:dyDescent="0.25">
      <c r="A101" t="s">
        <v>242</v>
      </c>
      <c r="B101" t="s">
        <v>232</v>
      </c>
      <c r="C101" t="s">
        <v>229</v>
      </c>
      <c r="D101" t="s">
        <v>21</v>
      </c>
      <c r="E101" t="s">
        <v>14</v>
      </c>
      <c r="F101" t="s">
        <v>230</v>
      </c>
      <c r="G101">
        <v>142676</v>
      </c>
      <c r="H101" t="s">
        <v>46</v>
      </c>
      <c r="I101" t="s">
        <v>54</v>
      </c>
      <c r="J101" t="s">
        <v>16</v>
      </c>
    </row>
    <row r="212" spans="1:1" x14ac:dyDescent="0.25">
      <c r="A212" t="s">
        <v>578</v>
      </c>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5FAAAB40-F314-4F8A-9E66-E9BBA30F7346}">
          <x14:formula1>
            <xm:f>'Lookup Table'!$A$2:$A$5</xm:f>
          </x14:formula1>
          <xm:sqref>C1:C1048576</xm:sqref>
        </x14:dataValidation>
        <x14:dataValidation type="list" allowBlank="1" showInputMessage="1" showErrorMessage="1" xr:uid="{83EB9240-A50C-4EA0-B9E1-E7A8F833891F}">
          <x14:formula1>
            <xm:f>'Lookup Table'!$D$2:$D$12</xm:f>
          </x14:formula1>
          <xm:sqref>E1:E1048576</xm:sqref>
        </x14:dataValidation>
        <x14:dataValidation type="list" allowBlank="1" showInputMessage="1" showErrorMessage="1" xr:uid="{C53A1016-2A7E-4D2F-B2BE-6373950E83FB}">
          <x14:formula1>
            <xm:f>'Lookup Table'!$G$2:$G$7</xm:f>
          </x14:formula1>
          <xm:sqref>H1:H1048576</xm:sqref>
        </x14:dataValidation>
        <x14:dataValidation type="list" allowBlank="1" showInputMessage="1" showErrorMessage="1" xr:uid="{2AD6F42E-F5BE-4BC6-B604-9277D6982943}">
          <x14:formula1>
            <xm:f>'Lookup Table'!$J$2:$J$7</xm:f>
          </x14:formula1>
          <xm:sqref>I1:I1048576</xm:sqref>
        </x14:dataValidation>
        <x14:dataValidation type="list" allowBlank="1" showInputMessage="1" showErrorMessage="1" xr:uid="{62092284-5956-44CE-96E6-249B25B6F2B5}">
          <x14:formula1>
            <xm:f>'Lookup Table'!$P$2:$P$18</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selection activeCell="K1" sqref="K1:K1048576"/>
    </sheetView>
  </sheetViews>
  <sheetFormatPr defaultRowHeight="15" x14ac:dyDescent="0.25"/>
  <cols>
    <col min="1" max="1" width="14.140625" bestFit="1" customWidth="1"/>
    <col min="2" max="2" width="14.42578125" bestFit="1" customWidth="1"/>
    <col min="3" max="3" width="12.85546875" bestFit="1" customWidth="1"/>
    <col min="4" max="4" width="10.140625" bestFit="1" customWidth="1"/>
    <col min="5" max="5" width="18.28515625" bestFit="1" customWidth="1"/>
    <col min="6" max="6" width="16.85546875" bestFit="1" customWidth="1"/>
    <col min="7" max="7" width="16" bestFit="1" customWidth="1"/>
    <col min="8" max="8" width="19.85546875" bestFit="1" customWidth="1"/>
    <col min="9" max="9" width="20.5703125" bestFit="1" customWidth="1"/>
    <col min="10" max="10" width="18.42578125" bestFit="1" customWidth="1"/>
    <col min="11" max="11" width="12" bestFit="1" customWidth="1"/>
  </cols>
  <sheetData>
    <row r="1" spans="1:11" x14ac:dyDescent="0.25">
      <c r="A1" t="s">
        <v>0</v>
      </c>
      <c r="B1" t="s">
        <v>243</v>
      </c>
      <c r="C1" t="s">
        <v>244</v>
      </c>
      <c r="D1" t="s">
        <v>245</v>
      </c>
      <c r="E1" t="s">
        <v>246</v>
      </c>
      <c r="F1" t="s">
        <v>247</v>
      </c>
      <c r="G1" t="s">
        <v>248</v>
      </c>
      <c r="H1" t="s">
        <v>249</v>
      </c>
      <c r="I1" t="s">
        <v>250</v>
      </c>
      <c r="J1" t="s">
        <v>251</v>
      </c>
      <c r="K1" t="s">
        <v>252</v>
      </c>
    </row>
    <row r="2" spans="1:11" x14ac:dyDescent="0.25">
      <c r="A2" t="s">
        <v>10</v>
      </c>
      <c r="B2" t="s">
        <v>253</v>
      </c>
      <c r="C2" t="s">
        <v>254</v>
      </c>
      <c r="D2" t="s">
        <v>255</v>
      </c>
      <c r="E2" t="s">
        <v>255</v>
      </c>
      <c r="F2" t="s">
        <v>255</v>
      </c>
      <c r="G2" t="s">
        <v>255</v>
      </c>
      <c r="H2" t="s">
        <v>255</v>
      </c>
      <c r="I2" t="s">
        <v>256</v>
      </c>
      <c r="J2" s="1">
        <v>46202</v>
      </c>
      <c r="K2" t="s">
        <v>257</v>
      </c>
    </row>
    <row r="3" spans="1:11" x14ac:dyDescent="0.25">
      <c r="A3" t="s">
        <v>19</v>
      </c>
      <c r="B3" t="s">
        <v>253</v>
      </c>
      <c r="C3" t="s">
        <v>258</v>
      </c>
      <c r="D3" t="s">
        <v>255</v>
      </c>
      <c r="E3" t="s">
        <v>255</v>
      </c>
      <c r="F3" t="s">
        <v>255</v>
      </c>
      <c r="G3" t="s">
        <v>259</v>
      </c>
      <c r="H3" t="s">
        <v>255</v>
      </c>
      <c r="I3" t="s">
        <v>260</v>
      </c>
      <c r="J3" s="1">
        <v>46060</v>
      </c>
      <c r="K3" t="s">
        <v>257</v>
      </c>
    </row>
    <row r="4" spans="1:11" x14ac:dyDescent="0.25">
      <c r="A4" t="s">
        <v>25</v>
      </c>
      <c r="B4" t="s">
        <v>262</v>
      </c>
      <c r="C4" t="s">
        <v>263</v>
      </c>
      <c r="D4" t="s">
        <v>255</v>
      </c>
      <c r="E4" t="s">
        <v>255</v>
      </c>
      <c r="F4" t="s">
        <v>255</v>
      </c>
      <c r="G4" t="s">
        <v>255</v>
      </c>
      <c r="H4" t="s">
        <v>255</v>
      </c>
      <c r="I4" t="s">
        <v>264</v>
      </c>
      <c r="J4" s="1">
        <v>46164</v>
      </c>
      <c r="K4" t="s">
        <v>257</v>
      </c>
    </row>
    <row r="5" spans="1:11" x14ac:dyDescent="0.25">
      <c r="A5" t="s">
        <v>31</v>
      </c>
      <c r="B5" t="s">
        <v>253</v>
      </c>
      <c r="C5" t="s">
        <v>265</v>
      </c>
      <c r="D5" t="s">
        <v>255</v>
      </c>
      <c r="E5" t="s">
        <v>255</v>
      </c>
      <c r="F5" t="s">
        <v>255</v>
      </c>
      <c r="G5" t="s">
        <v>255</v>
      </c>
      <c r="H5" t="s">
        <v>255</v>
      </c>
      <c r="I5" t="s">
        <v>266</v>
      </c>
      <c r="J5" s="1">
        <v>46046</v>
      </c>
      <c r="K5" t="s">
        <v>257</v>
      </c>
    </row>
    <row r="6" spans="1:11" x14ac:dyDescent="0.25">
      <c r="A6" t="s">
        <v>34</v>
      </c>
      <c r="B6" t="s">
        <v>267</v>
      </c>
      <c r="C6" t="s">
        <v>268</v>
      </c>
      <c r="D6" t="s">
        <v>255</v>
      </c>
      <c r="E6" t="s">
        <v>255</v>
      </c>
      <c r="F6" t="s">
        <v>255</v>
      </c>
      <c r="G6" t="s">
        <v>255</v>
      </c>
      <c r="H6" t="s">
        <v>255</v>
      </c>
      <c r="I6" t="s">
        <v>271</v>
      </c>
      <c r="J6" s="1">
        <v>46095</v>
      </c>
      <c r="K6" t="s">
        <v>257</v>
      </c>
    </row>
    <row r="7" spans="1:11" x14ac:dyDescent="0.25">
      <c r="A7" t="s">
        <v>39</v>
      </c>
      <c r="B7" t="s">
        <v>267</v>
      </c>
      <c r="C7" t="s">
        <v>269</v>
      </c>
      <c r="D7" t="s">
        <v>255</v>
      </c>
      <c r="E7" t="s">
        <v>255</v>
      </c>
      <c r="F7" t="s">
        <v>255</v>
      </c>
      <c r="G7" t="s">
        <v>255</v>
      </c>
      <c r="H7" t="s">
        <v>255</v>
      </c>
      <c r="I7" t="s">
        <v>260</v>
      </c>
      <c r="J7" s="1">
        <v>46142</v>
      </c>
      <c r="K7" t="s">
        <v>257</v>
      </c>
    </row>
    <row r="8" spans="1:11" x14ac:dyDescent="0.25">
      <c r="A8" t="s">
        <v>42</v>
      </c>
      <c r="B8" t="s">
        <v>262</v>
      </c>
      <c r="C8" t="s">
        <v>270</v>
      </c>
      <c r="D8" t="s">
        <v>255</v>
      </c>
      <c r="E8" t="s">
        <v>255</v>
      </c>
      <c r="F8" t="s">
        <v>255</v>
      </c>
      <c r="G8" t="s">
        <v>255</v>
      </c>
      <c r="H8" t="s">
        <v>255</v>
      </c>
      <c r="I8" t="s">
        <v>484</v>
      </c>
      <c r="J8" s="1">
        <v>46133</v>
      </c>
      <c r="K8" t="s">
        <v>257</v>
      </c>
    </row>
    <row r="9" spans="1:11" x14ac:dyDescent="0.25">
      <c r="A9" t="s">
        <v>48</v>
      </c>
      <c r="B9" t="s">
        <v>262</v>
      </c>
      <c r="C9" t="s">
        <v>272</v>
      </c>
      <c r="D9" t="s">
        <v>255</v>
      </c>
      <c r="E9" t="s">
        <v>255</v>
      </c>
      <c r="F9" t="s">
        <v>255</v>
      </c>
      <c r="G9" t="s">
        <v>255</v>
      </c>
      <c r="H9" t="s">
        <v>255</v>
      </c>
      <c r="I9" t="s">
        <v>485</v>
      </c>
      <c r="J9" s="1">
        <v>46174</v>
      </c>
      <c r="K9" t="s">
        <v>257</v>
      </c>
    </row>
    <row r="10" spans="1:11" x14ac:dyDescent="0.25">
      <c r="A10" t="s">
        <v>51</v>
      </c>
      <c r="B10" t="s">
        <v>262</v>
      </c>
      <c r="C10" t="s">
        <v>273</v>
      </c>
      <c r="D10" t="s">
        <v>255</v>
      </c>
      <c r="E10" t="s">
        <v>255</v>
      </c>
      <c r="F10" t="s">
        <v>255</v>
      </c>
      <c r="G10" t="s">
        <v>255</v>
      </c>
      <c r="H10" t="s">
        <v>255</v>
      </c>
      <c r="I10" t="s">
        <v>486</v>
      </c>
      <c r="J10" s="1">
        <v>46101</v>
      </c>
      <c r="K10" t="s">
        <v>257</v>
      </c>
    </row>
    <row r="11" spans="1:11" x14ac:dyDescent="0.25">
      <c r="A11" t="s">
        <v>56</v>
      </c>
      <c r="B11" t="s">
        <v>262</v>
      </c>
      <c r="C11" t="s">
        <v>274</v>
      </c>
      <c r="D11" t="s">
        <v>255</v>
      </c>
      <c r="E11" t="s">
        <v>255</v>
      </c>
      <c r="F11" t="s">
        <v>255</v>
      </c>
      <c r="G11" t="s">
        <v>255</v>
      </c>
      <c r="H11" t="s">
        <v>255</v>
      </c>
      <c r="I11" t="s">
        <v>487</v>
      </c>
      <c r="J11" s="1">
        <v>46133</v>
      </c>
      <c r="K11" t="s">
        <v>257</v>
      </c>
    </row>
    <row r="12" spans="1:11" x14ac:dyDescent="0.25">
      <c r="A12" t="s">
        <v>60</v>
      </c>
      <c r="B12" t="s">
        <v>262</v>
      </c>
      <c r="C12" t="s">
        <v>275</v>
      </c>
      <c r="D12" t="s">
        <v>255</v>
      </c>
      <c r="E12" t="s">
        <v>255</v>
      </c>
      <c r="F12" t="s">
        <v>255</v>
      </c>
      <c r="G12" t="s">
        <v>255</v>
      </c>
      <c r="H12" t="s">
        <v>255</v>
      </c>
      <c r="I12" t="s">
        <v>488</v>
      </c>
      <c r="J12" s="1">
        <v>46167</v>
      </c>
      <c r="K12" t="s">
        <v>257</v>
      </c>
    </row>
    <row r="13" spans="1:11" x14ac:dyDescent="0.25">
      <c r="A13" t="s">
        <v>62</v>
      </c>
      <c r="B13" t="s">
        <v>267</v>
      </c>
      <c r="C13" t="s">
        <v>276</v>
      </c>
      <c r="D13" t="s">
        <v>255</v>
      </c>
      <c r="E13" t="s">
        <v>255</v>
      </c>
      <c r="F13" t="s">
        <v>255</v>
      </c>
      <c r="G13" t="s">
        <v>255</v>
      </c>
      <c r="H13" t="s">
        <v>255</v>
      </c>
      <c r="I13" t="s">
        <v>489</v>
      </c>
      <c r="J13" s="1">
        <v>46145</v>
      </c>
      <c r="K13" t="s">
        <v>257</v>
      </c>
    </row>
    <row r="14" spans="1:11" x14ac:dyDescent="0.25">
      <c r="A14" t="s">
        <v>65</v>
      </c>
      <c r="B14" t="s">
        <v>253</v>
      </c>
      <c r="C14" t="s">
        <v>277</v>
      </c>
      <c r="D14" t="s">
        <v>255</v>
      </c>
      <c r="E14" t="s">
        <v>255</v>
      </c>
      <c r="F14" t="s">
        <v>255</v>
      </c>
      <c r="G14" t="s">
        <v>255</v>
      </c>
      <c r="H14" t="s">
        <v>255</v>
      </c>
      <c r="I14" t="s">
        <v>490</v>
      </c>
      <c r="J14" s="1">
        <v>46079</v>
      </c>
      <c r="K14" t="s">
        <v>257</v>
      </c>
    </row>
    <row r="15" spans="1:11" x14ac:dyDescent="0.25">
      <c r="A15" t="s">
        <v>67</v>
      </c>
      <c r="B15" t="s">
        <v>253</v>
      </c>
      <c r="C15" t="s">
        <v>278</v>
      </c>
      <c r="D15" t="s">
        <v>255</v>
      </c>
      <c r="E15" t="s">
        <v>255</v>
      </c>
      <c r="F15" t="s">
        <v>255</v>
      </c>
      <c r="G15" t="s">
        <v>255</v>
      </c>
      <c r="H15" t="s">
        <v>255</v>
      </c>
      <c r="I15" t="s">
        <v>491</v>
      </c>
      <c r="J15" s="1">
        <v>46176</v>
      </c>
      <c r="K15" t="s">
        <v>257</v>
      </c>
    </row>
    <row r="16" spans="1:11" x14ac:dyDescent="0.25">
      <c r="A16" t="s">
        <v>70</v>
      </c>
      <c r="B16" t="s">
        <v>253</v>
      </c>
      <c r="C16" t="s">
        <v>279</v>
      </c>
      <c r="D16" t="s">
        <v>255</v>
      </c>
      <c r="E16" t="s">
        <v>255</v>
      </c>
      <c r="F16" t="s">
        <v>255</v>
      </c>
      <c r="G16" t="s">
        <v>255</v>
      </c>
      <c r="H16" t="s">
        <v>255</v>
      </c>
      <c r="I16" t="s">
        <v>492</v>
      </c>
      <c r="J16" s="1">
        <v>46183</v>
      </c>
      <c r="K16" t="s">
        <v>257</v>
      </c>
    </row>
    <row r="17" spans="1:11" x14ac:dyDescent="0.25">
      <c r="A17" t="s">
        <v>73</v>
      </c>
      <c r="B17" t="s">
        <v>267</v>
      </c>
      <c r="C17" t="s">
        <v>280</v>
      </c>
      <c r="D17" t="s">
        <v>255</v>
      </c>
      <c r="E17" t="s">
        <v>255</v>
      </c>
      <c r="F17" t="s">
        <v>255</v>
      </c>
      <c r="G17" t="s">
        <v>255</v>
      </c>
      <c r="H17" t="s">
        <v>255</v>
      </c>
      <c r="I17" t="s">
        <v>493</v>
      </c>
      <c r="J17" s="1">
        <v>46093</v>
      </c>
      <c r="K17" t="s">
        <v>257</v>
      </c>
    </row>
    <row r="18" spans="1:11" x14ac:dyDescent="0.25">
      <c r="A18" t="s">
        <v>76</v>
      </c>
      <c r="B18" t="s">
        <v>281</v>
      </c>
      <c r="C18" t="s">
        <v>282</v>
      </c>
      <c r="D18" t="s">
        <v>255</v>
      </c>
      <c r="E18" t="s">
        <v>255</v>
      </c>
      <c r="F18" t="s">
        <v>255</v>
      </c>
      <c r="G18" t="s">
        <v>255</v>
      </c>
      <c r="H18" t="s">
        <v>255</v>
      </c>
      <c r="I18" t="s">
        <v>494</v>
      </c>
      <c r="J18" s="1">
        <v>46067</v>
      </c>
      <c r="K18" t="s">
        <v>257</v>
      </c>
    </row>
    <row r="19" spans="1:11" x14ac:dyDescent="0.25">
      <c r="A19" t="s">
        <v>78</v>
      </c>
      <c r="B19" t="s">
        <v>281</v>
      </c>
      <c r="C19" t="s">
        <v>283</v>
      </c>
      <c r="D19" t="s">
        <v>255</v>
      </c>
      <c r="E19" t="s">
        <v>255</v>
      </c>
      <c r="F19" t="s">
        <v>255</v>
      </c>
      <c r="G19" t="s">
        <v>255</v>
      </c>
      <c r="H19" t="s">
        <v>255</v>
      </c>
      <c r="I19" t="s">
        <v>495</v>
      </c>
      <c r="J19" s="1">
        <v>46028</v>
      </c>
      <c r="K19" t="s">
        <v>257</v>
      </c>
    </row>
    <row r="20" spans="1:11" x14ac:dyDescent="0.25">
      <c r="A20" t="s">
        <v>80</v>
      </c>
      <c r="B20" t="s">
        <v>281</v>
      </c>
      <c r="C20" t="s">
        <v>284</v>
      </c>
      <c r="D20" t="s">
        <v>255</v>
      </c>
      <c r="E20" t="s">
        <v>255</v>
      </c>
      <c r="F20" t="s">
        <v>255</v>
      </c>
      <c r="G20" t="s">
        <v>255</v>
      </c>
      <c r="H20" t="s">
        <v>255</v>
      </c>
      <c r="I20" t="s">
        <v>496</v>
      </c>
      <c r="J20" s="1">
        <v>46180</v>
      </c>
      <c r="K20" t="s">
        <v>257</v>
      </c>
    </row>
    <row r="21" spans="1:11" x14ac:dyDescent="0.25">
      <c r="A21" t="s">
        <v>83</v>
      </c>
      <c r="B21" t="s">
        <v>253</v>
      </c>
      <c r="C21" t="s">
        <v>285</v>
      </c>
      <c r="D21" t="s">
        <v>255</v>
      </c>
      <c r="E21" t="s">
        <v>255</v>
      </c>
      <c r="F21" t="s">
        <v>255</v>
      </c>
      <c r="G21" t="s">
        <v>255</v>
      </c>
      <c r="H21" t="s">
        <v>255</v>
      </c>
      <c r="I21" t="s">
        <v>497</v>
      </c>
      <c r="J21" s="1">
        <v>46023</v>
      </c>
      <c r="K21" t="s">
        <v>257</v>
      </c>
    </row>
    <row r="22" spans="1:11" x14ac:dyDescent="0.25">
      <c r="A22" t="s">
        <v>85</v>
      </c>
      <c r="B22" t="s">
        <v>253</v>
      </c>
      <c r="C22" t="s">
        <v>286</v>
      </c>
      <c r="D22" t="s">
        <v>255</v>
      </c>
      <c r="E22" t="s">
        <v>255</v>
      </c>
      <c r="F22" t="s">
        <v>255</v>
      </c>
      <c r="G22" t="s">
        <v>255</v>
      </c>
      <c r="H22" t="s">
        <v>255</v>
      </c>
      <c r="I22" t="s">
        <v>498</v>
      </c>
      <c r="J22" s="1">
        <v>46083</v>
      </c>
      <c r="K22" t="s">
        <v>257</v>
      </c>
    </row>
    <row r="23" spans="1:11" x14ac:dyDescent="0.25">
      <c r="A23" t="s">
        <v>87</v>
      </c>
      <c r="B23" t="s">
        <v>267</v>
      </c>
      <c r="C23" t="s">
        <v>287</v>
      </c>
      <c r="D23" t="s">
        <v>255</v>
      </c>
      <c r="E23" t="s">
        <v>255</v>
      </c>
      <c r="F23" t="s">
        <v>255</v>
      </c>
      <c r="G23" t="s">
        <v>255</v>
      </c>
      <c r="H23" t="s">
        <v>255</v>
      </c>
      <c r="I23" t="s">
        <v>499</v>
      </c>
      <c r="J23" s="1">
        <v>46133</v>
      </c>
      <c r="K23" t="s">
        <v>257</v>
      </c>
    </row>
    <row r="24" spans="1:11" x14ac:dyDescent="0.25">
      <c r="A24" t="s">
        <v>89</v>
      </c>
      <c r="B24" t="s">
        <v>253</v>
      </c>
      <c r="C24" t="s">
        <v>288</v>
      </c>
      <c r="D24" t="s">
        <v>255</v>
      </c>
      <c r="E24" t="s">
        <v>255</v>
      </c>
      <c r="F24" t="s">
        <v>255</v>
      </c>
      <c r="G24" t="s">
        <v>255</v>
      </c>
      <c r="H24" t="s">
        <v>255</v>
      </c>
      <c r="I24" t="s">
        <v>500</v>
      </c>
      <c r="J24" s="1">
        <v>46189</v>
      </c>
      <c r="K24" t="s">
        <v>257</v>
      </c>
    </row>
    <row r="25" spans="1:11" x14ac:dyDescent="0.25">
      <c r="A25" t="s">
        <v>91</v>
      </c>
      <c r="B25" t="s">
        <v>281</v>
      </c>
      <c r="C25" t="s">
        <v>289</v>
      </c>
      <c r="D25" t="s">
        <v>255</v>
      </c>
      <c r="E25" t="s">
        <v>255</v>
      </c>
      <c r="F25" t="s">
        <v>255</v>
      </c>
      <c r="G25" t="s">
        <v>255</v>
      </c>
      <c r="H25" t="s">
        <v>255</v>
      </c>
      <c r="I25" t="s">
        <v>501</v>
      </c>
      <c r="J25" s="1">
        <v>46177</v>
      </c>
      <c r="K25" t="s">
        <v>257</v>
      </c>
    </row>
    <row r="26" spans="1:11" x14ac:dyDescent="0.25">
      <c r="A26" t="s">
        <v>94</v>
      </c>
      <c r="B26" t="s">
        <v>281</v>
      </c>
      <c r="C26" t="s">
        <v>290</v>
      </c>
      <c r="D26" t="s">
        <v>255</v>
      </c>
      <c r="E26" t="s">
        <v>255</v>
      </c>
      <c r="F26" t="s">
        <v>255</v>
      </c>
      <c r="G26" t="s">
        <v>255</v>
      </c>
      <c r="H26" t="s">
        <v>255</v>
      </c>
      <c r="I26" t="s">
        <v>502</v>
      </c>
      <c r="J26" s="1">
        <v>46169</v>
      </c>
      <c r="K26" t="s">
        <v>257</v>
      </c>
    </row>
    <row r="27" spans="1:11" x14ac:dyDescent="0.25">
      <c r="A27" t="s">
        <v>96</v>
      </c>
      <c r="B27" t="s">
        <v>253</v>
      </c>
      <c r="C27" t="s">
        <v>291</v>
      </c>
      <c r="D27" t="s">
        <v>255</v>
      </c>
      <c r="E27" t="s">
        <v>255</v>
      </c>
      <c r="F27" t="s">
        <v>255</v>
      </c>
      <c r="G27" t="s">
        <v>255</v>
      </c>
      <c r="H27" t="s">
        <v>255</v>
      </c>
      <c r="I27" t="s">
        <v>503</v>
      </c>
      <c r="J27" s="1">
        <v>46068</v>
      </c>
      <c r="K27" t="s">
        <v>257</v>
      </c>
    </row>
    <row r="28" spans="1:11" x14ac:dyDescent="0.25">
      <c r="A28" t="s">
        <v>97</v>
      </c>
      <c r="B28" t="s">
        <v>267</v>
      </c>
      <c r="C28" t="s">
        <v>292</v>
      </c>
      <c r="D28" t="s">
        <v>255</v>
      </c>
      <c r="E28" t="s">
        <v>255</v>
      </c>
      <c r="F28" t="s">
        <v>255</v>
      </c>
      <c r="G28" t="s">
        <v>255</v>
      </c>
      <c r="H28" t="s">
        <v>255</v>
      </c>
      <c r="I28" t="s">
        <v>504</v>
      </c>
      <c r="J28" s="1">
        <v>46107</v>
      </c>
      <c r="K28" t="s">
        <v>257</v>
      </c>
    </row>
    <row r="29" spans="1:11" x14ac:dyDescent="0.25">
      <c r="A29" t="s">
        <v>99</v>
      </c>
      <c r="B29" t="s">
        <v>281</v>
      </c>
      <c r="C29" t="s">
        <v>293</v>
      </c>
      <c r="D29" t="s">
        <v>255</v>
      </c>
      <c r="E29" t="s">
        <v>255</v>
      </c>
      <c r="F29" t="s">
        <v>255</v>
      </c>
      <c r="G29" t="s">
        <v>255</v>
      </c>
      <c r="H29" t="s">
        <v>255</v>
      </c>
      <c r="I29" t="s">
        <v>505</v>
      </c>
      <c r="J29" s="1">
        <v>46120</v>
      </c>
      <c r="K29" t="s">
        <v>257</v>
      </c>
    </row>
    <row r="30" spans="1:11" x14ac:dyDescent="0.25">
      <c r="A30" t="s">
        <v>101</v>
      </c>
      <c r="B30" t="s">
        <v>281</v>
      </c>
      <c r="C30" t="s">
        <v>294</v>
      </c>
      <c r="D30" t="s">
        <v>255</v>
      </c>
      <c r="E30" t="s">
        <v>255</v>
      </c>
      <c r="F30" t="s">
        <v>255</v>
      </c>
      <c r="G30" t="s">
        <v>255</v>
      </c>
      <c r="H30" t="s">
        <v>255</v>
      </c>
      <c r="I30" t="s">
        <v>506</v>
      </c>
      <c r="J30" s="1">
        <v>46134</v>
      </c>
      <c r="K30" t="s">
        <v>257</v>
      </c>
    </row>
    <row r="31" spans="1:11" x14ac:dyDescent="0.25">
      <c r="A31" t="s">
        <v>103</v>
      </c>
      <c r="B31" t="s">
        <v>262</v>
      </c>
      <c r="C31" t="s">
        <v>295</v>
      </c>
      <c r="D31" t="s">
        <v>255</v>
      </c>
      <c r="E31" t="s">
        <v>255</v>
      </c>
      <c r="F31" t="s">
        <v>255</v>
      </c>
      <c r="G31" t="s">
        <v>255</v>
      </c>
      <c r="H31" t="s">
        <v>255</v>
      </c>
      <c r="I31" t="s">
        <v>507</v>
      </c>
      <c r="J31" s="1">
        <v>46194</v>
      </c>
      <c r="K31" t="s">
        <v>257</v>
      </c>
    </row>
    <row r="32" spans="1:11" x14ac:dyDescent="0.25">
      <c r="A32" t="s">
        <v>106</v>
      </c>
      <c r="B32" t="s">
        <v>262</v>
      </c>
      <c r="C32" t="s">
        <v>296</v>
      </c>
      <c r="D32" t="s">
        <v>255</v>
      </c>
      <c r="E32" t="s">
        <v>255</v>
      </c>
      <c r="F32" t="s">
        <v>255</v>
      </c>
      <c r="G32" t="s">
        <v>255</v>
      </c>
      <c r="H32" t="s">
        <v>255</v>
      </c>
      <c r="I32" t="s">
        <v>508</v>
      </c>
      <c r="J32" s="1">
        <v>46154</v>
      </c>
      <c r="K32" t="s">
        <v>257</v>
      </c>
    </row>
    <row r="33" spans="1:11" x14ac:dyDescent="0.25">
      <c r="A33" t="s">
        <v>108</v>
      </c>
      <c r="B33" t="s">
        <v>267</v>
      </c>
      <c r="C33" t="s">
        <v>297</v>
      </c>
      <c r="D33" t="s">
        <v>255</v>
      </c>
      <c r="E33" t="s">
        <v>255</v>
      </c>
      <c r="F33" t="s">
        <v>255</v>
      </c>
      <c r="G33" t="s">
        <v>255</v>
      </c>
      <c r="H33" t="s">
        <v>255</v>
      </c>
      <c r="I33" t="s">
        <v>509</v>
      </c>
      <c r="J33" s="1">
        <v>46178</v>
      </c>
      <c r="K33" t="s">
        <v>257</v>
      </c>
    </row>
    <row r="34" spans="1:11" x14ac:dyDescent="0.25">
      <c r="A34" t="s">
        <v>110</v>
      </c>
      <c r="B34" t="s">
        <v>253</v>
      </c>
      <c r="C34" t="s">
        <v>298</v>
      </c>
      <c r="D34" t="s">
        <v>255</v>
      </c>
      <c r="E34" t="s">
        <v>255</v>
      </c>
      <c r="F34" t="s">
        <v>255</v>
      </c>
      <c r="G34" t="s">
        <v>255</v>
      </c>
      <c r="H34" t="s">
        <v>255</v>
      </c>
      <c r="I34" t="s">
        <v>510</v>
      </c>
      <c r="J34" s="1">
        <v>46189</v>
      </c>
      <c r="K34" t="s">
        <v>257</v>
      </c>
    </row>
    <row r="35" spans="1:11" x14ac:dyDescent="0.25">
      <c r="A35" t="s">
        <v>112</v>
      </c>
      <c r="B35" t="s">
        <v>281</v>
      </c>
      <c r="C35" t="s">
        <v>299</v>
      </c>
      <c r="D35" t="s">
        <v>255</v>
      </c>
      <c r="E35" t="s">
        <v>255</v>
      </c>
      <c r="F35" t="s">
        <v>255</v>
      </c>
      <c r="G35" t="s">
        <v>255</v>
      </c>
      <c r="H35" t="s">
        <v>255</v>
      </c>
      <c r="I35" t="s">
        <v>511</v>
      </c>
      <c r="J35" s="1">
        <v>46190</v>
      </c>
      <c r="K35" t="s">
        <v>257</v>
      </c>
    </row>
    <row r="36" spans="1:11" x14ac:dyDescent="0.25">
      <c r="A36" t="s">
        <v>114</v>
      </c>
      <c r="B36" t="s">
        <v>253</v>
      </c>
      <c r="C36" t="s">
        <v>300</v>
      </c>
      <c r="D36" t="s">
        <v>255</v>
      </c>
      <c r="E36" t="s">
        <v>255</v>
      </c>
      <c r="F36" t="s">
        <v>255</v>
      </c>
      <c r="G36" t="s">
        <v>255</v>
      </c>
      <c r="H36" t="s">
        <v>255</v>
      </c>
      <c r="I36" t="s">
        <v>512</v>
      </c>
      <c r="J36" s="1">
        <v>46142</v>
      </c>
      <c r="K36" t="s">
        <v>257</v>
      </c>
    </row>
    <row r="37" spans="1:11" x14ac:dyDescent="0.25">
      <c r="A37" t="s">
        <v>116</v>
      </c>
      <c r="B37" t="s">
        <v>281</v>
      </c>
      <c r="C37" t="s">
        <v>301</v>
      </c>
      <c r="D37" t="s">
        <v>255</v>
      </c>
      <c r="E37" t="s">
        <v>255</v>
      </c>
      <c r="F37" t="s">
        <v>255</v>
      </c>
      <c r="G37" t="s">
        <v>255</v>
      </c>
      <c r="H37" t="s">
        <v>255</v>
      </c>
      <c r="I37" t="s">
        <v>513</v>
      </c>
      <c r="J37" s="1">
        <v>46049</v>
      </c>
      <c r="K37" t="s">
        <v>257</v>
      </c>
    </row>
    <row r="38" spans="1:11" x14ac:dyDescent="0.25">
      <c r="A38" t="s">
        <v>118</v>
      </c>
      <c r="B38" t="s">
        <v>262</v>
      </c>
      <c r="C38" t="s">
        <v>302</v>
      </c>
      <c r="D38" t="s">
        <v>255</v>
      </c>
      <c r="E38" t="s">
        <v>255</v>
      </c>
      <c r="F38" t="s">
        <v>255</v>
      </c>
      <c r="G38" t="s">
        <v>255</v>
      </c>
      <c r="H38" t="s">
        <v>255</v>
      </c>
      <c r="I38" t="s">
        <v>514</v>
      </c>
      <c r="J38" s="1">
        <v>46132</v>
      </c>
      <c r="K38" t="s">
        <v>257</v>
      </c>
    </row>
    <row r="39" spans="1:11" x14ac:dyDescent="0.25">
      <c r="A39" t="s">
        <v>120</v>
      </c>
      <c r="B39" t="s">
        <v>281</v>
      </c>
      <c r="C39" t="s">
        <v>303</v>
      </c>
      <c r="D39" t="s">
        <v>255</v>
      </c>
      <c r="E39" t="s">
        <v>255</v>
      </c>
      <c r="F39" t="s">
        <v>255</v>
      </c>
      <c r="G39" t="s">
        <v>255</v>
      </c>
      <c r="H39" t="s">
        <v>255</v>
      </c>
      <c r="I39" t="s">
        <v>515</v>
      </c>
      <c r="J39" s="1">
        <v>46131</v>
      </c>
      <c r="K39" t="s">
        <v>257</v>
      </c>
    </row>
    <row r="40" spans="1:11" x14ac:dyDescent="0.25">
      <c r="A40" t="s">
        <v>123</v>
      </c>
      <c r="B40" t="s">
        <v>262</v>
      </c>
      <c r="C40" t="s">
        <v>304</v>
      </c>
      <c r="D40" t="s">
        <v>255</v>
      </c>
      <c r="E40" t="s">
        <v>255</v>
      </c>
      <c r="F40" t="s">
        <v>255</v>
      </c>
      <c r="G40" t="s">
        <v>255</v>
      </c>
      <c r="H40" t="s">
        <v>255</v>
      </c>
      <c r="I40" t="s">
        <v>516</v>
      </c>
      <c r="J40" s="1">
        <v>46143</v>
      </c>
      <c r="K40" t="s">
        <v>257</v>
      </c>
    </row>
    <row r="41" spans="1:11" x14ac:dyDescent="0.25">
      <c r="A41" t="s">
        <v>125</v>
      </c>
      <c r="B41" t="s">
        <v>267</v>
      </c>
      <c r="C41" t="s">
        <v>305</v>
      </c>
      <c r="D41" t="s">
        <v>255</v>
      </c>
      <c r="E41" t="s">
        <v>255</v>
      </c>
      <c r="F41" t="s">
        <v>255</v>
      </c>
      <c r="G41" t="s">
        <v>255</v>
      </c>
      <c r="H41" t="s">
        <v>255</v>
      </c>
      <c r="I41" t="s">
        <v>517</v>
      </c>
      <c r="J41" s="1">
        <v>46177</v>
      </c>
      <c r="K41" t="s">
        <v>257</v>
      </c>
    </row>
    <row r="42" spans="1:11" x14ac:dyDescent="0.25">
      <c r="A42" t="s">
        <v>128</v>
      </c>
      <c r="B42" t="s">
        <v>281</v>
      </c>
      <c r="C42" t="s">
        <v>306</v>
      </c>
      <c r="D42" t="s">
        <v>255</v>
      </c>
      <c r="E42" t="s">
        <v>255</v>
      </c>
      <c r="F42" t="s">
        <v>255</v>
      </c>
      <c r="G42" t="s">
        <v>255</v>
      </c>
      <c r="H42" t="s">
        <v>255</v>
      </c>
      <c r="I42" t="s">
        <v>518</v>
      </c>
      <c r="J42" s="1">
        <v>46028</v>
      </c>
      <c r="K42" t="s">
        <v>257</v>
      </c>
    </row>
    <row r="43" spans="1:11" x14ac:dyDescent="0.25">
      <c r="A43" t="s">
        <v>130</v>
      </c>
      <c r="B43" t="s">
        <v>267</v>
      </c>
      <c r="C43" t="s">
        <v>307</v>
      </c>
      <c r="D43" t="s">
        <v>255</v>
      </c>
      <c r="E43" t="s">
        <v>255</v>
      </c>
      <c r="F43" t="s">
        <v>255</v>
      </c>
      <c r="G43" t="s">
        <v>255</v>
      </c>
      <c r="H43" t="s">
        <v>255</v>
      </c>
      <c r="I43" t="s">
        <v>519</v>
      </c>
      <c r="J43" s="1">
        <v>46151</v>
      </c>
      <c r="K43" t="s">
        <v>257</v>
      </c>
    </row>
    <row r="44" spans="1:11" x14ac:dyDescent="0.25">
      <c r="A44" t="s">
        <v>132</v>
      </c>
      <c r="B44" t="s">
        <v>262</v>
      </c>
      <c r="C44" t="s">
        <v>308</v>
      </c>
      <c r="D44" t="s">
        <v>255</v>
      </c>
      <c r="E44" t="s">
        <v>255</v>
      </c>
      <c r="F44" t="s">
        <v>255</v>
      </c>
      <c r="G44" t="s">
        <v>255</v>
      </c>
      <c r="H44" t="s">
        <v>255</v>
      </c>
      <c r="I44" t="s">
        <v>520</v>
      </c>
      <c r="J44" s="1">
        <v>46087</v>
      </c>
      <c r="K44" t="s">
        <v>257</v>
      </c>
    </row>
    <row r="45" spans="1:11" x14ac:dyDescent="0.25">
      <c r="A45" t="s">
        <v>134</v>
      </c>
      <c r="B45" t="s">
        <v>253</v>
      </c>
      <c r="C45" t="s">
        <v>309</v>
      </c>
      <c r="D45" t="s">
        <v>255</v>
      </c>
      <c r="E45" t="s">
        <v>255</v>
      </c>
      <c r="F45" t="s">
        <v>255</v>
      </c>
      <c r="G45" t="s">
        <v>255</v>
      </c>
      <c r="H45" t="s">
        <v>255</v>
      </c>
      <c r="I45" t="s">
        <v>521</v>
      </c>
      <c r="J45" s="1">
        <v>46067</v>
      </c>
      <c r="K45" t="s">
        <v>257</v>
      </c>
    </row>
    <row r="46" spans="1:11" x14ac:dyDescent="0.25">
      <c r="A46" t="s">
        <v>135</v>
      </c>
      <c r="B46" t="s">
        <v>267</v>
      </c>
      <c r="C46" t="s">
        <v>310</v>
      </c>
      <c r="D46" t="s">
        <v>255</v>
      </c>
      <c r="E46" t="s">
        <v>255</v>
      </c>
      <c r="F46" t="s">
        <v>255</v>
      </c>
      <c r="G46" t="s">
        <v>255</v>
      </c>
      <c r="H46" t="s">
        <v>255</v>
      </c>
      <c r="I46" t="s">
        <v>522</v>
      </c>
      <c r="J46" s="1">
        <v>46108</v>
      </c>
      <c r="K46" t="s">
        <v>257</v>
      </c>
    </row>
    <row r="47" spans="1:11" x14ac:dyDescent="0.25">
      <c r="A47" t="s">
        <v>137</v>
      </c>
      <c r="B47" t="s">
        <v>267</v>
      </c>
      <c r="C47" t="s">
        <v>311</v>
      </c>
      <c r="D47" t="s">
        <v>255</v>
      </c>
      <c r="E47" t="s">
        <v>255</v>
      </c>
      <c r="F47" t="s">
        <v>255</v>
      </c>
      <c r="G47" t="s">
        <v>255</v>
      </c>
      <c r="H47" t="s">
        <v>255</v>
      </c>
      <c r="I47" t="s">
        <v>523</v>
      </c>
      <c r="J47" s="1">
        <v>46168</v>
      </c>
      <c r="K47" t="s">
        <v>257</v>
      </c>
    </row>
    <row r="48" spans="1:11" x14ac:dyDescent="0.25">
      <c r="A48" t="s">
        <v>139</v>
      </c>
      <c r="B48" t="s">
        <v>253</v>
      </c>
      <c r="C48" t="s">
        <v>312</v>
      </c>
      <c r="D48" t="s">
        <v>255</v>
      </c>
      <c r="E48" t="s">
        <v>255</v>
      </c>
      <c r="F48" t="s">
        <v>255</v>
      </c>
      <c r="G48" t="s">
        <v>255</v>
      </c>
      <c r="H48" t="s">
        <v>255</v>
      </c>
      <c r="I48" t="s">
        <v>524</v>
      </c>
      <c r="J48" s="1">
        <v>46194</v>
      </c>
      <c r="K48" t="s">
        <v>257</v>
      </c>
    </row>
    <row r="49" spans="1:11" x14ac:dyDescent="0.25">
      <c r="A49" t="s">
        <v>141</v>
      </c>
      <c r="B49" t="s">
        <v>253</v>
      </c>
      <c r="C49" t="s">
        <v>313</v>
      </c>
      <c r="D49" t="s">
        <v>255</v>
      </c>
      <c r="E49" t="s">
        <v>255</v>
      </c>
      <c r="F49" t="s">
        <v>255</v>
      </c>
      <c r="G49" t="s">
        <v>255</v>
      </c>
      <c r="H49" t="s">
        <v>255</v>
      </c>
      <c r="I49" t="s">
        <v>525</v>
      </c>
      <c r="J49" s="1">
        <v>46076</v>
      </c>
      <c r="K49" t="s">
        <v>257</v>
      </c>
    </row>
    <row r="50" spans="1:11" x14ac:dyDescent="0.25">
      <c r="A50" t="s">
        <v>143</v>
      </c>
      <c r="B50" t="s">
        <v>253</v>
      </c>
      <c r="C50" t="s">
        <v>314</v>
      </c>
      <c r="D50" t="s">
        <v>255</v>
      </c>
      <c r="E50" t="s">
        <v>255</v>
      </c>
      <c r="F50" t="s">
        <v>255</v>
      </c>
      <c r="G50" t="s">
        <v>255</v>
      </c>
      <c r="H50" t="s">
        <v>255</v>
      </c>
      <c r="I50" t="s">
        <v>526</v>
      </c>
      <c r="J50" s="1">
        <v>46084</v>
      </c>
      <c r="K50" t="s">
        <v>257</v>
      </c>
    </row>
    <row r="51" spans="1:11" x14ac:dyDescent="0.25">
      <c r="A51" t="s">
        <v>145</v>
      </c>
      <c r="B51" t="s">
        <v>267</v>
      </c>
      <c r="C51" t="s">
        <v>315</v>
      </c>
      <c r="D51" t="s">
        <v>255</v>
      </c>
      <c r="E51" t="s">
        <v>255</v>
      </c>
      <c r="F51" t="s">
        <v>255</v>
      </c>
      <c r="G51" t="s">
        <v>255</v>
      </c>
      <c r="H51" t="s">
        <v>255</v>
      </c>
      <c r="I51" t="s">
        <v>527</v>
      </c>
      <c r="J51" s="1">
        <v>46095</v>
      </c>
      <c r="K51" t="s">
        <v>257</v>
      </c>
    </row>
    <row r="52" spans="1:11" x14ac:dyDescent="0.25">
      <c r="A52" t="s">
        <v>147</v>
      </c>
      <c r="B52" t="s">
        <v>267</v>
      </c>
      <c r="C52" t="s">
        <v>316</v>
      </c>
      <c r="D52" t="s">
        <v>255</v>
      </c>
      <c r="E52" t="s">
        <v>255</v>
      </c>
      <c r="F52" t="s">
        <v>255</v>
      </c>
      <c r="G52" t="s">
        <v>255</v>
      </c>
      <c r="H52" t="s">
        <v>255</v>
      </c>
      <c r="I52" t="s">
        <v>528</v>
      </c>
      <c r="J52" s="1">
        <v>46110</v>
      </c>
      <c r="K52" t="s">
        <v>257</v>
      </c>
    </row>
    <row r="53" spans="1:11" x14ac:dyDescent="0.25">
      <c r="A53" t="s">
        <v>149</v>
      </c>
      <c r="B53" t="s">
        <v>281</v>
      </c>
      <c r="C53" t="s">
        <v>317</v>
      </c>
      <c r="D53" t="s">
        <v>255</v>
      </c>
      <c r="E53" t="s">
        <v>255</v>
      </c>
      <c r="F53" t="s">
        <v>255</v>
      </c>
      <c r="G53" t="s">
        <v>255</v>
      </c>
      <c r="H53" t="s">
        <v>255</v>
      </c>
      <c r="I53" t="s">
        <v>529</v>
      </c>
      <c r="J53" s="1">
        <v>46036</v>
      </c>
      <c r="K53" t="s">
        <v>257</v>
      </c>
    </row>
    <row r="54" spans="1:11" x14ac:dyDescent="0.25">
      <c r="A54" t="s">
        <v>151</v>
      </c>
      <c r="B54" t="s">
        <v>281</v>
      </c>
      <c r="C54" t="s">
        <v>318</v>
      </c>
      <c r="D54" t="s">
        <v>255</v>
      </c>
      <c r="E54" t="s">
        <v>255</v>
      </c>
      <c r="F54" t="s">
        <v>255</v>
      </c>
      <c r="G54" t="s">
        <v>255</v>
      </c>
      <c r="H54" t="s">
        <v>255</v>
      </c>
      <c r="I54" t="s">
        <v>530</v>
      </c>
      <c r="J54" s="1">
        <v>46192</v>
      </c>
      <c r="K54" t="s">
        <v>257</v>
      </c>
    </row>
    <row r="55" spans="1:11" x14ac:dyDescent="0.25">
      <c r="A55" t="s">
        <v>153</v>
      </c>
      <c r="B55" t="s">
        <v>262</v>
      </c>
      <c r="C55" t="s">
        <v>319</v>
      </c>
      <c r="D55" t="s">
        <v>255</v>
      </c>
      <c r="E55" t="s">
        <v>255</v>
      </c>
      <c r="F55" t="s">
        <v>255</v>
      </c>
      <c r="G55" t="s">
        <v>255</v>
      </c>
      <c r="H55" t="s">
        <v>255</v>
      </c>
      <c r="I55" t="s">
        <v>531</v>
      </c>
      <c r="J55" s="1">
        <v>46175</v>
      </c>
      <c r="K55" t="s">
        <v>257</v>
      </c>
    </row>
    <row r="56" spans="1:11" x14ac:dyDescent="0.25">
      <c r="A56" t="s">
        <v>155</v>
      </c>
      <c r="B56" t="s">
        <v>267</v>
      </c>
      <c r="C56" t="s">
        <v>320</v>
      </c>
      <c r="D56" t="s">
        <v>255</v>
      </c>
      <c r="E56" t="s">
        <v>255</v>
      </c>
      <c r="F56" t="s">
        <v>255</v>
      </c>
      <c r="G56" t="s">
        <v>255</v>
      </c>
      <c r="H56" t="s">
        <v>255</v>
      </c>
      <c r="I56" t="s">
        <v>532</v>
      </c>
      <c r="J56" s="1">
        <v>46043</v>
      </c>
      <c r="K56" t="s">
        <v>257</v>
      </c>
    </row>
    <row r="57" spans="1:11" x14ac:dyDescent="0.25">
      <c r="A57" t="s">
        <v>157</v>
      </c>
      <c r="B57" t="s">
        <v>253</v>
      </c>
      <c r="C57" t="s">
        <v>321</v>
      </c>
      <c r="D57" t="s">
        <v>255</v>
      </c>
      <c r="E57" t="s">
        <v>255</v>
      </c>
      <c r="F57" t="s">
        <v>255</v>
      </c>
      <c r="G57" t="s">
        <v>255</v>
      </c>
      <c r="H57" t="s">
        <v>255</v>
      </c>
      <c r="I57" t="s">
        <v>533</v>
      </c>
      <c r="J57" s="1">
        <v>46145</v>
      </c>
      <c r="K57" t="s">
        <v>257</v>
      </c>
    </row>
    <row r="58" spans="1:11" x14ac:dyDescent="0.25">
      <c r="A58" t="s">
        <v>159</v>
      </c>
      <c r="B58" t="s">
        <v>267</v>
      </c>
      <c r="C58" t="s">
        <v>322</v>
      </c>
      <c r="D58" t="s">
        <v>255</v>
      </c>
      <c r="E58" t="s">
        <v>255</v>
      </c>
      <c r="F58" t="s">
        <v>255</v>
      </c>
      <c r="G58" t="s">
        <v>255</v>
      </c>
      <c r="H58" t="s">
        <v>255</v>
      </c>
      <c r="I58" t="s">
        <v>534</v>
      </c>
      <c r="J58" s="1">
        <v>46078</v>
      </c>
      <c r="K58" t="s">
        <v>257</v>
      </c>
    </row>
    <row r="59" spans="1:11" x14ac:dyDescent="0.25">
      <c r="A59" t="s">
        <v>160</v>
      </c>
      <c r="B59" t="s">
        <v>262</v>
      </c>
      <c r="C59" t="s">
        <v>323</v>
      </c>
      <c r="D59" t="s">
        <v>255</v>
      </c>
      <c r="E59" t="s">
        <v>255</v>
      </c>
      <c r="F59" t="s">
        <v>255</v>
      </c>
      <c r="G59" t="s">
        <v>255</v>
      </c>
      <c r="H59" t="s">
        <v>255</v>
      </c>
      <c r="I59" t="s">
        <v>535</v>
      </c>
      <c r="J59" s="1">
        <v>46059</v>
      </c>
      <c r="K59" t="s">
        <v>257</v>
      </c>
    </row>
    <row r="60" spans="1:11" x14ac:dyDescent="0.25">
      <c r="A60" t="s">
        <v>162</v>
      </c>
      <c r="B60" t="s">
        <v>262</v>
      </c>
      <c r="C60" t="s">
        <v>324</v>
      </c>
      <c r="D60" t="s">
        <v>255</v>
      </c>
      <c r="E60" t="s">
        <v>255</v>
      </c>
      <c r="F60" t="s">
        <v>255</v>
      </c>
      <c r="G60" t="s">
        <v>255</v>
      </c>
      <c r="H60" t="s">
        <v>255</v>
      </c>
      <c r="I60" t="s">
        <v>536</v>
      </c>
      <c r="J60" s="1">
        <v>46100</v>
      </c>
      <c r="K60" t="s">
        <v>257</v>
      </c>
    </row>
    <row r="61" spans="1:11" x14ac:dyDescent="0.25">
      <c r="A61" t="s">
        <v>163</v>
      </c>
      <c r="B61" t="s">
        <v>262</v>
      </c>
      <c r="C61" t="s">
        <v>325</v>
      </c>
      <c r="D61" t="s">
        <v>255</v>
      </c>
      <c r="E61" t="s">
        <v>255</v>
      </c>
      <c r="F61" t="s">
        <v>255</v>
      </c>
      <c r="G61" t="s">
        <v>255</v>
      </c>
      <c r="H61" t="s">
        <v>255</v>
      </c>
      <c r="I61" t="s">
        <v>537</v>
      </c>
      <c r="J61" s="1">
        <v>46081</v>
      </c>
      <c r="K61" t="s">
        <v>257</v>
      </c>
    </row>
    <row r="62" spans="1:11" x14ac:dyDescent="0.25">
      <c r="A62" t="s">
        <v>165</v>
      </c>
      <c r="B62" t="s">
        <v>281</v>
      </c>
      <c r="C62" t="s">
        <v>326</v>
      </c>
      <c r="D62" t="s">
        <v>255</v>
      </c>
      <c r="E62" t="s">
        <v>255</v>
      </c>
      <c r="F62" t="s">
        <v>255</v>
      </c>
      <c r="G62" t="s">
        <v>255</v>
      </c>
      <c r="H62" t="s">
        <v>255</v>
      </c>
      <c r="I62" t="s">
        <v>538</v>
      </c>
      <c r="J62" s="1">
        <v>46115</v>
      </c>
      <c r="K62" t="s">
        <v>257</v>
      </c>
    </row>
    <row r="63" spans="1:11" x14ac:dyDescent="0.25">
      <c r="A63" t="s">
        <v>167</v>
      </c>
      <c r="B63" t="s">
        <v>253</v>
      </c>
      <c r="C63" t="s">
        <v>327</v>
      </c>
      <c r="D63" t="s">
        <v>255</v>
      </c>
      <c r="E63" t="s">
        <v>255</v>
      </c>
      <c r="F63" t="s">
        <v>255</v>
      </c>
      <c r="G63" t="s">
        <v>255</v>
      </c>
      <c r="H63" t="s">
        <v>255</v>
      </c>
      <c r="I63" t="s">
        <v>539</v>
      </c>
      <c r="J63" s="1">
        <v>46125</v>
      </c>
      <c r="K63" t="s">
        <v>257</v>
      </c>
    </row>
    <row r="64" spans="1:11" x14ac:dyDescent="0.25">
      <c r="A64" t="s">
        <v>169</v>
      </c>
      <c r="B64" t="s">
        <v>281</v>
      </c>
      <c r="C64" t="s">
        <v>328</v>
      </c>
      <c r="D64" t="s">
        <v>255</v>
      </c>
      <c r="E64" t="s">
        <v>255</v>
      </c>
      <c r="F64" t="s">
        <v>255</v>
      </c>
      <c r="G64" t="s">
        <v>255</v>
      </c>
      <c r="H64" t="s">
        <v>255</v>
      </c>
      <c r="I64" t="s">
        <v>540</v>
      </c>
      <c r="J64" s="1">
        <v>46179</v>
      </c>
      <c r="K64" t="s">
        <v>257</v>
      </c>
    </row>
    <row r="65" spans="1:11" x14ac:dyDescent="0.25">
      <c r="A65" t="s">
        <v>171</v>
      </c>
      <c r="B65" t="s">
        <v>281</v>
      </c>
      <c r="C65" t="s">
        <v>329</v>
      </c>
      <c r="D65" t="s">
        <v>255</v>
      </c>
      <c r="E65" t="s">
        <v>255</v>
      </c>
      <c r="F65" t="s">
        <v>255</v>
      </c>
      <c r="G65" t="s">
        <v>255</v>
      </c>
      <c r="H65" t="s">
        <v>255</v>
      </c>
      <c r="I65" t="s">
        <v>541</v>
      </c>
      <c r="J65" s="1">
        <v>46140</v>
      </c>
      <c r="K65" t="s">
        <v>257</v>
      </c>
    </row>
    <row r="66" spans="1:11" x14ac:dyDescent="0.25">
      <c r="A66" t="s">
        <v>172</v>
      </c>
      <c r="B66" t="s">
        <v>262</v>
      </c>
      <c r="C66" t="s">
        <v>330</v>
      </c>
      <c r="D66" t="s">
        <v>255</v>
      </c>
      <c r="E66" t="s">
        <v>255</v>
      </c>
      <c r="F66" t="s">
        <v>255</v>
      </c>
      <c r="G66" t="s">
        <v>255</v>
      </c>
      <c r="H66" t="s">
        <v>255</v>
      </c>
      <c r="I66" t="s">
        <v>542</v>
      </c>
      <c r="J66" s="1">
        <v>46193</v>
      </c>
      <c r="K66" t="s">
        <v>257</v>
      </c>
    </row>
    <row r="67" spans="1:11" x14ac:dyDescent="0.25">
      <c r="A67" t="s">
        <v>174</v>
      </c>
      <c r="B67" t="s">
        <v>281</v>
      </c>
      <c r="C67" t="s">
        <v>331</v>
      </c>
      <c r="D67" t="s">
        <v>255</v>
      </c>
      <c r="E67" t="s">
        <v>255</v>
      </c>
      <c r="F67" t="s">
        <v>255</v>
      </c>
      <c r="G67" t="s">
        <v>255</v>
      </c>
      <c r="H67" t="s">
        <v>255</v>
      </c>
      <c r="I67" t="s">
        <v>543</v>
      </c>
      <c r="J67" s="1">
        <v>46024</v>
      </c>
      <c r="K67" t="s">
        <v>257</v>
      </c>
    </row>
    <row r="68" spans="1:11" x14ac:dyDescent="0.25">
      <c r="A68" t="s">
        <v>176</v>
      </c>
      <c r="B68" t="s">
        <v>253</v>
      </c>
      <c r="C68" t="s">
        <v>332</v>
      </c>
      <c r="D68" t="s">
        <v>255</v>
      </c>
      <c r="E68" t="s">
        <v>255</v>
      </c>
      <c r="F68" t="s">
        <v>255</v>
      </c>
      <c r="G68" t="s">
        <v>255</v>
      </c>
      <c r="H68" t="s">
        <v>255</v>
      </c>
      <c r="I68" t="s">
        <v>544</v>
      </c>
      <c r="J68" s="1">
        <v>46072</v>
      </c>
      <c r="K68" t="s">
        <v>257</v>
      </c>
    </row>
    <row r="69" spans="1:11" x14ac:dyDescent="0.25">
      <c r="A69" t="s">
        <v>178</v>
      </c>
      <c r="B69" t="s">
        <v>253</v>
      </c>
      <c r="C69" t="s">
        <v>333</v>
      </c>
      <c r="D69" t="s">
        <v>255</v>
      </c>
      <c r="E69" t="s">
        <v>255</v>
      </c>
      <c r="F69" t="s">
        <v>255</v>
      </c>
      <c r="G69" t="s">
        <v>255</v>
      </c>
      <c r="H69" t="s">
        <v>255</v>
      </c>
      <c r="I69" t="s">
        <v>545</v>
      </c>
      <c r="J69" s="1">
        <v>46086</v>
      </c>
      <c r="K69" t="s">
        <v>257</v>
      </c>
    </row>
    <row r="70" spans="1:11" x14ac:dyDescent="0.25">
      <c r="A70" t="s">
        <v>180</v>
      </c>
      <c r="B70" t="s">
        <v>281</v>
      </c>
      <c r="C70" t="s">
        <v>334</v>
      </c>
      <c r="D70" t="s">
        <v>255</v>
      </c>
      <c r="E70" t="s">
        <v>255</v>
      </c>
      <c r="F70" t="s">
        <v>255</v>
      </c>
      <c r="G70" t="s">
        <v>255</v>
      </c>
      <c r="H70" t="s">
        <v>255</v>
      </c>
      <c r="I70" t="s">
        <v>546</v>
      </c>
      <c r="J70" s="1">
        <v>46087</v>
      </c>
      <c r="K70" t="s">
        <v>257</v>
      </c>
    </row>
    <row r="71" spans="1:11" x14ac:dyDescent="0.25">
      <c r="A71" t="s">
        <v>182</v>
      </c>
      <c r="B71" t="s">
        <v>253</v>
      </c>
      <c r="C71" t="s">
        <v>335</v>
      </c>
      <c r="D71" t="s">
        <v>255</v>
      </c>
      <c r="E71" t="s">
        <v>255</v>
      </c>
      <c r="F71" t="s">
        <v>255</v>
      </c>
      <c r="G71" t="s">
        <v>255</v>
      </c>
      <c r="H71" t="s">
        <v>255</v>
      </c>
      <c r="I71" t="s">
        <v>547</v>
      </c>
      <c r="J71" s="1">
        <v>46183</v>
      </c>
      <c r="K71" t="s">
        <v>257</v>
      </c>
    </row>
    <row r="72" spans="1:11" x14ac:dyDescent="0.25">
      <c r="A72" t="s">
        <v>184</v>
      </c>
      <c r="B72" t="s">
        <v>281</v>
      </c>
      <c r="C72" t="s">
        <v>336</v>
      </c>
      <c r="D72" t="s">
        <v>255</v>
      </c>
      <c r="E72" t="s">
        <v>255</v>
      </c>
      <c r="F72" t="s">
        <v>255</v>
      </c>
      <c r="G72" t="s">
        <v>255</v>
      </c>
      <c r="H72" t="s">
        <v>255</v>
      </c>
      <c r="I72" t="s">
        <v>548</v>
      </c>
      <c r="J72" s="1">
        <v>46190</v>
      </c>
      <c r="K72" t="s">
        <v>257</v>
      </c>
    </row>
    <row r="73" spans="1:11" x14ac:dyDescent="0.25">
      <c r="A73" t="s">
        <v>188</v>
      </c>
      <c r="B73" t="s">
        <v>267</v>
      </c>
      <c r="C73" t="s">
        <v>337</v>
      </c>
      <c r="D73" t="s">
        <v>255</v>
      </c>
      <c r="E73" t="s">
        <v>255</v>
      </c>
      <c r="F73" t="s">
        <v>255</v>
      </c>
      <c r="G73" t="s">
        <v>255</v>
      </c>
      <c r="H73" t="s">
        <v>255</v>
      </c>
      <c r="I73" t="s">
        <v>549</v>
      </c>
      <c r="J73" s="1">
        <v>46172</v>
      </c>
      <c r="K73" t="s">
        <v>257</v>
      </c>
    </row>
    <row r="74" spans="1:11" x14ac:dyDescent="0.25">
      <c r="A74" t="s">
        <v>190</v>
      </c>
      <c r="B74" t="s">
        <v>281</v>
      </c>
      <c r="C74" t="s">
        <v>338</v>
      </c>
      <c r="D74" t="s">
        <v>255</v>
      </c>
      <c r="E74" t="s">
        <v>255</v>
      </c>
      <c r="F74" t="s">
        <v>255</v>
      </c>
      <c r="G74" t="s">
        <v>255</v>
      </c>
      <c r="H74" t="s">
        <v>255</v>
      </c>
      <c r="I74" t="s">
        <v>550</v>
      </c>
      <c r="J74" s="1">
        <v>46199</v>
      </c>
      <c r="K74" t="s">
        <v>257</v>
      </c>
    </row>
    <row r="75" spans="1:11" x14ac:dyDescent="0.25">
      <c r="A75" t="s">
        <v>193</v>
      </c>
      <c r="B75" t="s">
        <v>262</v>
      </c>
      <c r="C75" t="s">
        <v>339</v>
      </c>
      <c r="D75" t="s">
        <v>255</v>
      </c>
      <c r="E75" t="s">
        <v>255</v>
      </c>
      <c r="F75" t="s">
        <v>255</v>
      </c>
      <c r="G75" t="s">
        <v>255</v>
      </c>
      <c r="H75" t="s">
        <v>255</v>
      </c>
      <c r="I75" t="s">
        <v>551</v>
      </c>
      <c r="J75" s="1">
        <v>46191</v>
      </c>
      <c r="K75" t="s">
        <v>257</v>
      </c>
    </row>
    <row r="76" spans="1:11" x14ac:dyDescent="0.25">
      <c r="A76" t="s">
        <v>195</v>
      </c>
      <c r="B76" t="s">
        <v>253</v>
      </c>
      <c r="C76" t="s">
        <v>340</v>
      </c>
      <c r="D76" t="s">
        <v>255</v>
      </c>
      <c r="E76" t="s">
        <v>255</v>
      </c>
      <c r="F76" t="s">
        <v>255</v>
      </c>
      <c r="G76" t="s">
        <v>255</v>
      </c>
      <c r="H76" t="s">
        <v>255</v>
      </c>
      <c r="I76" t="s">
        <v>552</v>
      </c>
      <c r="J76" s="1">
        <v>46031</v>
      </c>
      <c r="K76" t="s">
        <v>257</v>
      </c>
    </row>
    <row r="77" spans="1:11" x14ac:dyDescent="0.25">
      <c r="A77" t="s">
        <v>197</v>
      </c>
      <c r="B77" t="s">
        <v>267</v>
      </c>
      <c r="C77" t="s">
        <v>341</v>
      </c>
      <c r="D77" t="s">
        <v>255</v>
      </c>
      <c r="E77" t="s">
        <v>255</v>
      </c>
      <c r="F77" t="s">
        <v>255</v>
      </c>
      <c r="G77" t="s">
        <v>255</v>
      </c>
      <c r="H77" t="s">
        <v>255</v>
      </c>
      <c r="I77" t="s">
        <v>553</v>
      </c>
      <c r="J77" s="1">
        <v>46163</v>
      </c>
      <c r="K77" t="s">
        <v>257</v>
      </c>
    </row>
    <row r="78" spans="1:11" x14ac:dyDescent="0.25">
      <c r="A78" t="s">
        <v>200</v>
      </c>
      <c r="B78" t="s">
        <v>253</v>
      </c>
      <c r="C78" t="s">
        <v>342</v>
      </c>
      <c r="D78" t="s">
        <v>255</v>
      </c>
      <c r="E78" t="s">
        <v>255</v>
      </c>
      <c r="F78" t="s">
        <v>255</v>
      </c>
      <c r="G78" t="s">
        <v>255</v>
      </c>
      <c r="H78" t="s">
        <v>255</v>
      </c>
      <c r="I78" t="s">
        <v>554</v>
      </c>
      <c r="J78" s="1">
        <v>46139</v>
      </c>
      <c r="K78" t="s">
        <v>257</v>
      </c>
    </row>
    <row r="79" spans="1:11" x14ac:dyDescent="0.25">
      <c r="A79" t="s">
        <v>202</v>
      </c>
      <c r="B79" t="s">
        <v>253</v>
      </c>
      <c r="C79" t="s">
        <v>343</v>
      </c>
      <c r="D79" t="s">
        <v>255</v>
      </c>
      <c r="E79" t="s">
        <v>255</v>
      </c>
      <c r="F79" t="s">
        <v>255</v>
      </c>
      <c r="G79" t="s">
        <v>255</v>
      </c>
      <c r="H79" t="s">
        <v>255</v>
      </c>
      <c r="I79" t="s">
        <v>555</v>
      </c>
      <c r="J79" s="1">
        <v>46063</v>
      </c>
      <c r="K79" t="s">
        <v>257</v>
      </c>
    </row>
    <row r="80" spans="1:11" x14ac:dyDescent="0.25">
      <c r="A80" t="s">
        <v>204</v>
      </c>
      <c r="B80" t="s">
        <v>253</v>
      </c>
      <c r="C80" t="s">
        <v>344</v>
      </c>
      <c r="D80" t="s">
        <v>255</v>
      </c>
      <c r="E80" t="s">
        <v>255</v>
      </c>
      <c r="F80" t="s">
        <v>255</v>
      </c>
      <c r="G80" t="s">
        <v>255</v>
      </c>
      <c r="H80" t="s">
        <v>255</v>
      </c>
      <c r="I80" t="s">
        <v>556</v>
      </c>
      <c r="J80" s="1">
        <v>46129</v>
      </c>
      <c r="K80" t="s">
        <v>257</v>
      </c>
    </row>
    <row r="81" spans="1:11" x14ac:dyDescent="0.25">
      <c r="A81" t="s">
        <v>206</v>
      </c>
      <c r="B81" t="s">
        <v>281</v>
      </c>
      <c r="C81" t="s">
        <v>345</v>
      </c>
      <c r="D81" t="s">
        <v>255</v>
      </c>
      <c r="E81" t="s">
        <v>255</v>
      </c>
      <c r="F81" t="s">
        <v>255</v>
      </c>
      <c r="G81" t="s">
        <v>255</v>
      </c>
      <c r="H81" t="s">
        <v>255</v>
      </c>
      <c r="I81" t="s">
        <v>557</v>
      </c>
      <c r="J81" s="1">
        <v>46152</v>
      </c>
      <c r="K81" t="s">
        <v>257</v>
      </c>
    </row>
    <row r="82" spans="1:11" x14ac:dyDescent="0.25">
      <c r="A82" t="s">
        <v>208</v>
      </c>
      <c r="B82" t="s">
        <v>253</v>
      </c>
      <c r="C82" t="s">
        <v>346</v>
      </c>
      <c r="D82" t="s">
        <v>255</v>
      </c>
      <c r="E82" t="s">
        <v>255</v>
      </c>
      <c r="F82" t="s">
        <v>255</v>
      </c>
      <c r="G82" t="s">
        <v>255</v>
      </c>
      <c r="H82" t="s">
        <v>255</v>
      </c>
      <c r="I82" t="s">
        <v>558</v>
      </c>
      <c r="J82" s="1">
        <v>46059</v>
      </c>
      <c r="K82" t="s">
        <v>257</v>
      </c>
    </row>
    <row r="83" spans="1:11" x14ac:dyDescent="0.25">
      <c r="A83" t="s">
        <v>210</v>
      </c>
      <c r="B83" t="s">
        <v>267</v>
      </c>
      <c r="C83" t="s">
        <v>347</v>
      </c>
      <c r="D83" t="s">
        <v>255</v>
      </c>
      <c r="E83" t="s">
        <v>255</v>
      </c>
      <c r="F83" t="s">
        <v>255</v>
      </c>
      <c r="G83" t="s">
        <v>255</v>
      </c>
      <c r="H83" t="s">
        <v>255</v>
      </c>
      <c r="I83" t="s">
        <v>559</v>
      </c>
      <c r="J83" s="1">
        <v>46148</v>
      </c>
      <c r="K83" t="s">
        <v>257</v>
      </c>
    </row>
    <row r="84" spans="1:11" x14ac:dyDescent="0.25">
      <c r="A84" t="s">
        <v>212</v>
      </c>
      <c r="B84" t="s">
        <v>267</v>
      </c>
      <c r="C84" t="s">
        <v>348</v>
      </c>
      <c r="D84" t="s">
        <v>255</v>
      </c>
      <c r="E84" t="s">
        <v>255</v>
      </c>
      <c r="F84" t="s">
        <v>255</v>
      </c>
      <c r="G84" t="s">
        <v>255</v>
      </c>
      <c r="H84" t="s">
        <v>255</v>
      </c>
      <c r="I84" t="s">
        <v>560</v>
      </c>
      <c r="J84" s="1">
        <v>46052</v>
      </c>
      <c r="K84" t="s">
        <v>257</v>
      </c>
    </row>
    <row r="85" spans="1:11" x14ac:dyDescent="0.25">
      <c r="A85" t="s">
        <v>214</v>
      </c>
      <c r="B85" t="s">
        <v>281</v>
      </c>
      <c r="C85" t="s">
        <v>349</v>
      </c>
      <c r="D85" t="s">
        <v>255</v>
      </c>
      <c r="E85" t="s">
        <v>255</v>
      </c>
      <c r="F85" t="s">
        <v>255</v>
      </c>
      <c r="G85" t="s">
        <v>255</v>
      </c>
      <c r="H85" t="s">
        <v>255</v>
      </c>
      <c r="I85" t="s">
        <v>561</v>
      </c>
      <c r="J85" s="1">
        <v>46201</v>
      </c>
      <c r="K85" t="s">
        <v>257</v>
      </c>
    </row>
    <row r="86" spans="1:11" x14ac:dyDescent="0.25">
      <c r="A86" t="s">
        <v>216</v>
      </c>
      <c r="B86" t="s">
        <v>262</v>
      </c>
      <c r="C86" t="s">
        <v>350</v>
      </c>
      <c r="D86" t="s">
        <v>255</v>
      </c>
      <c r="E86" t="s">
        <v>255</v>
      </c>
      <c r="F86" t="s">
        <v>255</v>
      </c>
      <c r="G86" t="s">
        <v>255</v>
      </c>
      <c r="H86" t="s">
        <v>255</v>
      </c>
      <c r="I86" t="s">
        <v>562</v>
      </c>
      <c r="J86" s="1">
        <v>46146</v>
      </c>
      <c r="K86" t="s">
        <v>257</v>
      </c>
    </row>
    <row r="87" spans="1:11" x14ac:dyDescent="0.25">
      <c r="A87" t="s">
        <v>218</v>
      </c>
      <c r="B87" t="s">
        <v>267</v>
      </c>
      <c r="C87" t="s">
        <v>351</v>
      </c>
      <c r="D87" t="s">
        <v>255</v>
      </c>
      <c r="E87" t="s">
        <v>255</v>
      </c>
      <c r="F87" t="s">
        <v>255</v>
      </c>
      <c r="G87" t="s">
        <v>255</v>
      </c>
      <c r="H87" t="s">
        <v>255</v>
      </c>
      <c r="I87" t="s">
        <v>563</v>
      </c>
      <c r="J87" s="1">
        <v>46159</v>
      </c>
      <c r="K87" t="s">
        <v>257</v>
      </c>
    </row>
    <row r="88" spans="1:11" x14ac:dyDescent="0.25">
      <c r="A88" t="s">
        <v>220</v>
      </c>
      <c r="B88" t="s">
        <v>262</v>
      </c>
      <c r="C88" t="s">
        <v>352</v>
      </c>
      <c r="D88" t="s">
        <v>255</v>
      </c>
      <c r="E88" t="s">
        <v>255</v>
      </c>
      <c r="F88" t="s">
        <v>255</v>
      </c>
      <c r="G88" t="s">
        <v>255</v>
      </c>
      <c r="H88" t="s">
        <v>255</v>
      </c>
      <c r="I88" t="s">
        <v>564</v>
      </c>
      <c r="J88" s="1">
        <v>46032</v>
      </c>
      <c r="K88" t="s">
        <v>257</v>
      </c>
    </row>
    <row r="89" spans="1:11" x14ac:dyDescent="0.25">
      <c r="A89" t="s">
        <v>222</v>
      </c>
      <c r="B89" t="s">
        <v>253</v>
      </c>
      <c r="C89" t="s">
        <v>353</v>
      </c>
      <c r="D89" t="s">
        <v>255</v>
      </c>
      <c r="E89" t="s">
        <v>255</v>
      </c>
      <c r="F89" t="s">
        <v>255</v>
      </c>
      <c r="G89" t="s">
        <v>255</v>
      </c>
      <c r="H89" t="s">
        <v>255</v>
      </c>
      <c r="I89" t="s">
        <v>565</v>
      </c>
      <c r="J89" s="1">
        <v>46166</v>
      </c>
      <c r="K89" t="s">
        <v>257</v>
      </c>
    </row>
    <row r="90" spans="1:11" x14ac:dyDescent="0.25">
      <c r="A90" t="s">
        <v>224</v>
      </c>
      <c r="B90" t="s">
        <v>262</v>
      </c>
      <c r="C90" t="s">
        <v>354</v>
      </c>
      <c r="D90" t="s">
        <v>255</v>
      </c>
      <c r="E90" t="s">
        <v>255</v>
      </c>
      <c r="F90" t="s">
        <v>255</v>
      </c>
      <c r="G90" t="s">
        <v>255</v>
      </c>
      <c r="H90" t="s">
        <v>255</v>
      </c>
      <c r="I90" t="s">
        <v>566</v>
      </c>
      <c r="J90" s="1">
        <v>46093</v>
      </c>
      <c r="K90" t="s">
        <v>257</v>
      </c>
    </row>
    <row r="91" spans="1:11" x14ac:dyDescent="0.25">
      <c r="A91" t="s">
        <v>225</v>
      </c>
      <c r="B91" t="s">
        <v>267</v>
      </c>
      <c r="C91" t="s">
        <v>355</v>
      </c>
      <c r="D91" t="s">
        <v>255</v>
      </c>
      <c r="E91" t="s">
        <v>255</v>
      </c>
      <c r="F91" t="s">
        <v>255</v>
      </c>
      <c r="G91" t="s">
        <v>255</v>
      </c>
      <c r="H91" t="s">
        <v>255</v>
      </c>
      <c r="I91" t="s">
        <v>567</v>
      </c>
      <c r="J91" s="1">
        <v>46102</v>
      </c>
      <c r="K91" t="s">
        <v>257</v>
      </c>
    </row>
    <row r="92" spans="1:11" x14ac:dyDescent="0.25">
      <c r="A92" t="s">
        <v>227</v>
      </c>
      <c r="B92" t="s">
        <v>281</v>
      </c>
      <c r="C92" t="s">
        <v>356</v>
      </c>
      <c r="D92" t="s">
        <v>255</v>
      </c>
      <c r="E92" t="s">
        <v>255</v>
      </c>
      <c r="F92" t="s">
        <v>255</v>
      </c>
      <c r="G92" t="s">
        <v>255</v>
      </c>
      <c r="H92" t="s">
        <v>255</v>
      </c>
      <c r="I92" t="s">
        <v>568</v>
      </c>
      <c r="J92" s="1">
        <v>46173</v>
      </c>
      <c r="K92" t="s">
        <v>257</v>
      </c>
    </row>
    <row r="93" spans="1:11" x14ac:dyDescent="0.25">
      <c r="A93" t="s">
        <v>231</v>
      </c>
      <c r="B93" t="s">
        <v>281</v>
      </c>
      <c r="C93" t="s">
        <v>357</v>
      </c>
      <c r="D93" t="s">
        <v>255</v>
      </c>
      <c r="E93" t="s">
        <v>255</v>
      </c>
      <c r="F93" t="s">
        <v>255</v>
      </c>
      <c r="G93" t="s">
        <v>255</v>
      </c>
      <c r="H93" t="s">
        <v>255</v>
      </c>
      <c r="I93" t="s">
        <v>569</v>
      </c>
      <c r="J93" s="1">
        <v>46155</v>
      </c>
      <c r="K93" t="s">
        <v>257</v>
      </c>
    </row>
    <row r="94" spans="1:11" x14ac:dyDescent="0.25">
      <c r="A94" t="s">
        <v>233</v>
      </c>
      <c r="B94" t="s">
        <v>267</v>
      </c>
      <c r="C94" t="s">
        <v>358</v>
      </c>
      <c r="D94" t="s">
        <v>255</v>
      </c>
      <c r="E94" t="s">
        <v>255</v>
      </c>
      <c r="F94" t="s">
        <v>255</v>
      </c>
      <c r="G94" t="s">
        <v>255</v>
      </c>
      <c r="H94" t="s">
        <v>255</v>
      </c>
      <c r="I94" t="s">
        <v>570</v>
      </c>
      <c r="J94" s="1">
        <v>46127</v>
      </c>
      <c r="K94" t="s">
        <v>257</v>
      </c>
    </row>
    <row r="95" spans="1:11" x14ac:dyDescent="0.25">
      <c r="A95" t="s">
        <v>235</v>
      </c>
      <c r="B95" t="s">
        <v>262</v>
      </c>
      <c r="C95" t="s">
        <v>359</v>
      </c>
      <c r="D95" t="s">
        <v>255</v>
      </c>
      <c r="E95" t="s">
        <v>255</v>
      </c>
      <c r="F95" t="s">
        <v>255</v>
      </c>
      <c r="G95" t="s">
        <v>255</v>
      </c>
      <c r="H95" t="s">
        <v>255</v>
      </c>
      <c r="I95" t="s">
        <v>571</v>
      </c>
      <c r="J95" s="1">
        <v>46023</v>
      </c>
      <c r="K95" t="s">
        <v>257</v>
      </c>
    </row>
    <row r="96" spans="1:11" x14ac:dyDescent="0.25">
      <c r="A96" t="s">
        <v>236</v>
      </c>
      <c r="B96" t="s">
        <v>262</v>
      </c>
      <c r="C96" t="s">
        <v>360</v>
      </c>
      <c r="D96" t="s">
        <v>255</v>
      </c>
      <c r="E96" t="s">
        <v>255</v>
      </c>
      <c r="F96" t="s">
        <v>255</v>
      </c>
      <c r="G96" t="s">
        <v>255</v>
      </c>
      <c r="H96" t="s">
        <v>255</v>
      </c>
      <c r="I96" t="s">
        <v>572</v>
      </c>
      <c r="J96" s="1">
        <v>46189</v>
      </c>
      <c r="K96" t="s">
        <v>257</v>
      </c>
    </row>
    <row r="97" spans="1:11" x14ac:dyDescent="0.25">
      <c r="A97" t="s">
        <v>238</v>
      </c>
      <c r="B97" t="s">
        <v>262</v>
      </c>
      <c r="C97" t="s">
        <v>361</v>
      </c>
      <c r="D97" t="s">
        <v>255</v>
      </c>
      <c r="E97" t="s">
        <v>255</v>
      </c>
      <c r="F97" t="s">
        <v>255</v>
      </c>
      <c r="G97" t="s">
        <v>255</v>
      </c>
      <c r="H97" t="s">
        <v>255</v>
      </c>
      <c r="I97" t="s">
        <v>573</v>
      </c>
      <c r="J97" s="1">
        <v>46170</v>
      </c>
      <c r="K97" t="s">
        <v>257</v>
      </c>
    </row>
    <row r="98" spans="1:11" x14ac:dyDescent="0.25">
      <c r="A98" t="s">
        <v>239</v>
      </c>
      <c r="B98" t="s">
        <v>253</v>
      </c>
      <c r="C98" t="s">
        <v>362</v>
      </c>
      <c r="D98" t="s">
        <v>255</v>
      </c>
      <c r="E98" t="s">
        <v>255</v>
      </c>
      <c r="F98" t="s">
        <v>255</v>
      </c>
      <c r="G98" t="s">
        <v>255</v>
      </c>
      <c r="H98" t="s">
        <v>255</v>
      </c>
      <c r="I98" t="s">
        <v>574</v>
      </c>
      <c r="J98" s="1">
        <v>46079</v>
      </c>
      <c r="K98" t="s">
        <v>257</v>
      </c>
    </row>
    <row r="99" spans="1:11" x14ac:dyDescent="0.25">
      <c r="A99" t="s">
        <v>240</v>
      </c>
      <c r="B99" t="s">
        <v>253</v>
      </c>
      <c r="C99" t="s">
        <v>363</v>
      </c>
      <c r="D99" t="s">
        <v>255</v>
      </c>
      <c r="E99" t="s">
        <v>255</v>
      </c>
      <c r="F99" t="s">
        <v>255</v>
      </c>
      <c r="G99" t="s">
        <v>255</v>
      </c>
      <c r="H99" t="s">
        <v>255</v>
      </c>
      <c r="I99" t="s">
        <v>575</v>
      </c>
      <c r="J99" s="1">
        <v>46097</v>
      </c>
      <c r="K99" t="s">
        <v>257</v>
      </c>
    </row>
    <row r="100" spans="1:11" x14ac:dyDescent="0.25">
      <c r="A100" t="s">
        <v>241</v>
      </c>
      <c r="B100" t="s">
        <v>262</v>
      </c>
      <c r="C100" t="s">
        <v>364</v>
      </c>
      <c r="D100" t="s">
        <v>255</v>
      </c>
      <c r="E100" t="s">
        <v>255</v>
      </c>
      <c r="F100" t="s">
        <v>255</v>
      </c>
      <c r="G100" t="s">
        <v>255</v>
      </c>
      <c r="H100" t="s">
        <v>255</v>
      </c>
      <c r="I100" t="s">
        <v>576</v>
      </c>
      <c r="J100" s="1">
        <v>46182</v>
      </c>
      <c r="K100" t="s">
        <v>257</v>
      </c>
    </row>
    <row r="101" spans="1:11" x14ac:dyDescent="0.25">
      <c r="A101" t="s">
        <v>242</v>
      </c>
      <c r="B101" t="s">
        <v>262</v>
      </c>
      <c r="C101" t="s">
        <v>365</v>
      </c>
      <c r="D101" t="s">
        <v>255</v>
      </c>
      <c r="E101" t="s">
        <v>255</v>
      </c>
      <c r="F101" t="s">
        <v>255</v>
      </c>
      <c r="G101" t="s">
        <v>255</v>
      </c>
      <c r="H101" t="s">
        <v>255</v>
      </c>
      <c r="I101" t="s">
        <v>577</v>
      </c>
      <c r="J101" s="1">
        <v>46179</v>
      </c>
      <c r="K101" t="s">
        <v>257</v>
      </c>
    </row>
  </sheetData>
  <phoneticPr fontId="2"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825CE-3AE0-4B94-A5C6-582EDECD609E}">
  <dimension ref="A1:H212"/>
  <sheetViews>
    <sheetView workbookViewId="0">
      <selection activeCell="A213" sqref="A213"/>
    </sheetView>
  </sheetViews>
  <sheetFormatPr defaultRowHeight="15" x14ac:dyDescent="0.25"/>
  <cols>
    <col min="1" max="1" width="14.140625" bestFit="1" customWidth="1"/>
    <col min="2" max="2" width="6.5703125" bestFit="1" customWidth="1"/>
    <col min="3" max="3" width="11.28515625" bestFit="1" customWidth="1"/>
    <col min="4" max="4" width="17" bestFit="1" customWidth="1"/>
    <col min="5" max="5" width="11.7109375" bestFit="1" customWidth="1"/>
    <col min="6" max="6" width="16.85546875" bestFit="1" customWidth="1"/>
    <col min="7" max="7" width="27.85546875" bestFit="1" customWidth="1"/>
    <col min="8" max="8" width="18.140625" bestFit="1" customWidth="1"/>
  </cols>
  <sheetData>
    <row r="1" spans="1:8" x14ac:dyDescent="0.25">
      <c r="A1" t="s">
        <v>0</v>
      </c>
      <c r="B1" t="s">
        <v>393</v>
      </c>
      <c r="C1" t="s">
        <v>394</v>
      </c>
      <c r="D1" t="s">
        <v>395</v>
      </c>
      <c r="E1" t="s">
        <v>396</v>
      </c>
      <c r="F1" t="s">
        <v>397</v>
      </c>
      <c r="G1" t="s">
        <v>398</v>
      </c>
      <c r="H1" t="s">
        <v>384</v>
      </c>
    </row>
    <row r="2" spans="1:8" x14ac:dyDescent="0.25">
      <c r="A2" t="s">
        <v>10</v>
      </c>
      <c r="B2" t="s">
        <v>259</v>
      </c>
      <c r="C2" t="s">
        <v>385</v>
      </c>
      <c r="D2" t="s">
        <v>386</v>
      </c>
      <c r="E2" t="s">
        <v>259</v>
      </c>
      <c r="F2" t="s">
        <v>387</v>
      </c>
      <c r="G2" t="s">
        <v>255</v>
      </c>
      <c r="H2" t="s">
        <v>377</v>
      </c>
    </row>
    <row r="3" spans="1:8" x14ac:dyDescent="0.25">
      <c r="A3" t="s">
        <v>19</v>
      </c>
      <c r="B3" t="s">
        <v>255</v>
      </c>
      <c r="C3" t="s">
        <v>388</v>
      </c>
      <c r="D3" t="s">
        <v>386</v>
      </c>
      <c r="E3" t="s">
        <v>259</v>
      </c>
      <c r="F3" t="s">
        <v>389</v>
      </c>
      <c r="G3" t="s">
        <v>255</v>
      </c>
      <c r="H3" t="s">
        <v>378</v>
      </c>
    </row>
    <row r="4" spans="1:8" x14ac:dyDescent="0.25">
      <c r="A4" t="s">
        <v>25</v>
      </c>
      <c r="B4" t="s">
        <v>259</v>
      </c>
      <c r="C4" t="s">
        <v>385</v>
      </c>
      <c r="D4" t="s">
        <v>386</v>
      </c>
      <c r="E4" t="s">
        <v>259</v>
      </c>
      <c r="F4" t="s">
        <v>389</v>
      </c>
      <c r="G4" t="s">
        <v>255</v>
      </c>
      <c r="H4" t="s">
        <v>378</v>
      </c>
    </row>
    <row r="5" spans="1:8" x14ac:dyDescent="0.25">
      <c r="A5" t="s">
        <v>31</v>
      </c>
      <c r="B5" t="s">
        <v>259</v>
      </c>
      <c r="C5" t="s">
        <v>385</v>
      </c>
      <c r="D5" t="s">
        <v>386</v>
      </c>
      <c r="E5" t="s">
        <v>255</v>
      </c>
      <c r="F5" t="s">
        <v>389</v>
      </c>
      <c r="G5" t="s">
        <v>255</v>
      </c>
      <c r="H5" t="s">
        <v>378</v>
      </c>
    </row>
    <row r="6" spans="1:8" x14ac:dyDescent="0.25">
      <c r="A6" t="s">
        <v>34</v>
      </c>
      <c r="B6" t="s">
        <v>259</v>
      </c>
      <c r="C6" t="s">
        <v>385</v>
      </c>
      <c r="D6" t="s">
        <v>386</v>
      </c>
      <c r="E6" t="s">
        <v>255</v>
      </c>
      <c r="F6" t="s">
        <v>390</v>
      </c>
      <c r="G6" t="s">
        <v>255</v>
      </c>
      <c r="H6" t="s">
        <v>377</v>
      </c>
    </row>
    <row r="7" spans="1:8" x14ac:dyDescent="0.25">
      <c r="A7" t="s">
        <v>39</v>
      </c>
      <c r="B7" t="s">
        <v>259</v>
      </c>
      <c r="C7" t="s">
        <v>385</v>
      </c>
      <c r="D7" t="s">
        <v>386</v>
      </c>
      <c r="E7" t="s">
        <v>259</v>
      </c>
      <c r="F7" t="s">
        <v>389</v>
      </c>
      <c r="G7" t="s">
        <v>255</v>
      </c>
      <c r="H7" t="s">
        <v>378</v>
      </c>
    </row>
    <row r="8" spans="1:8" x14ac:dyDescent="0.25">
      <c r="A8" t="s">
        <v>42</v>
      </c>
      <c r="B8" t="s">
        <v>255</v>
      </c>
      <c r="C8" t="s">
        <v>388</v>
      </c>
      <c r="D8" t="s">
        <v>386</v>
      </c>
      <c r="E8" t="s">
        <v>255</v>
      </c>
      <c r="F8" t="s">
        <v>387</v>
      </c>
      <c r="G8" t="s">
        <v>255</v>
      </c>
      <c r="H8" t="s">
        <v>378</v>
      </c>
    </row>
    <row r="9" spans="1:8" x14ac:dyDescent="0.25">
      <c r="A9" t="s">
        <v>48</v>
      </c>
      <c r="B9" t="s">
        <v>255</v>
      </c>
      <c r="C9" t="s">
        <v>388</v>
      </c>
      <c r="D9" t="s">
        <v>386</v>
      </c>
      <c r="E9" t="s">
        <v>259</v>
      </c>
      <c r="F9" t="s">
        <v>389</v>
      </c>
      <c r="G9" t="s">
        <v>255</v>
      </c>
      <c r="H9" t="s">
        <v>378</v>
      </c>
    </row>
    <row r="10" spans="1:8" x14ac:dyDescent="0.25">
      <c r="A10" t="s">
        <v>51</v>
      </c>
      <c r="B10" t="s">
        <v>259</v>
      </c>
      <c r="C10" t="s">
        <v>385</v>
      </c>
      <c r="D10" t="s">
        <v>386</v>
      </c>
      <c r="E10" t="s">
        <v>259</v>
      </c>
      <c r="F10" t="s">
        <v>389</v>
      </c>
      <c r="G10" t="s">
        <v>255</v>
      </c>
      <c r="H10" t="s">
        <v>378</v>
      </c>
    </row>
    <row r="11" spans="1:8" x14ac:dyDescent="0.25">
      <c r="A11" t="s">
        <v>56</v>
      </c>
      <c r="B11" t="s">
        <v>259</v>
      </c>
      <c r="C11" t="s">
        <v>385</v>
      </c>
      <c r="D11" t="s">
        <v>386</v>
      </c>
      <c r="E11" t="s">
        <v>259</v>
      </c>
      <c r="F11" t="s">
        <v>389</v>
      </c>
      <c r="G11" t="s">
        <v>255</v>
      </c>
      <c r="H11" t="s">
        <v>378</v>
      </c>
    </row>
    <row r="12" spans="1:8" x14ac:dyDescent="0.25">
      <c r="A12" t="s">
        <v>60</v>
      </c>
      <c r="B12" t="s">
        <v>259</v>
      </c>
      <c r="C12" t="s">
        <v>385</v>
      </c>
      <c r="D12" t="s">
        <v>386</v>
      </c>
      <c r="E12" t="s">
        <v>259</v>
      </c>
      <c r="F12" t="s">
        <v>387</v>
      </c>
      <c r="G12" t="s">
        <v>255</v>
      </c>
      <c r="H12" t="s">
        <v>377</v>
      </c>
    </row>
    <row r="13" spans="1:8" x14ac:dyDescent="0.25">
      <c r="A13" t="s">
        <v>62</v>
      </c>
      <c r="B13" t="s">
        <v>259</v>
      </c>
      <c r="C13" t="s">
        <v>385</v>
      </c>
      <c r="D13" t="s">
        <v>386</v>
      </c>
      <c r="E13" t="s">
        <v>255</v>
      </c>
      <c r="F13" t="s">
        <v>387</v>
      </c>
      <c r="G13" t="s">
        <v>255</v>
      </c>
      <c r="H13" t="s">
        <v>377</v>
      </c>
    </row>
    <row r="14" spans="1:8" x14ac:dyDescent="0.25">
      <c r="A14" t="s">
        <v>65</v>
      </c>
      <c r="B14" t="s">
        <v>259</v>
      </c>
      <c r="C14" t="s">
        <v>385</v>
      </c>
      <c r="D14" t="s">
        <v>386</v>
      </c>
      <c r="E14" t="s">
        <v>259</v>
      </c>
      <c r="F14" t="s">
        <v>390</v>
      </c>
      <c r="G14" t="s">
        <v>255</v>
      </c>
      <c r="H14" t="s">
        <v>377</v>
      </c>
    </row>
    <row r="15" spans="1:8" x14ac:dyDescent="0.25">
      <c r="A15" t="s">
        <v>67</v>
      </c>
      <c r="B15" t="s">
        <v>255</v>
      </c>
      <c r="C15" t="s">
        <v>388</v>
      </c>
      <c r="D15" t="s">
        <v>386</v>
      </c>
      <c r="E15" t="s">
        <v>259</v>
      </c>
      <c r="F15" t="s">
        <v>387</v>
      </c>
      <c r="G15" t="s">
        <v>255</v>
      </c>
      <c r="H15" t="s">
        <v>378</v>
      </c>
    </row>
    <row r="16" spans="1:8" x14ac:dyDescent="0.25">
      <c r="A16" t="s">
        <v>70</v>
      </c>
      <c r="B16" t="s">
        <v>259</v>
      </c>
      <c r="C16" t="s">
        <v>385</v>
      </c>
      <c r="D16" t="s">
        <v>386</v>
      </c>
      <c r="E16" t="s">
        <v>255</v>
      </c>
      <c r="F16" t="s">
        <v>389</v>
      </c>
      <c r="G16" t="s">
        <v>255</v>
      </c>
      <c r="H16" t="s">
        <v>378</v>
      </c>
    </row>
    <row r="17" spans="1:8" x14ac:dyDescent="0.25">
      <c r="A17" t="s">
        <v>73</v>
      </c>
      <c r="B17" t="s">
        <v>259</v>
      </c>
      <c r="C17" t="s">
        <v>385</v>
      </c>
      <c r="D17" t="s">
        <v>386</v>
      </c>
      <c r="E17" t="s">
        <v>255</v>
      </c>
      <c r="F17" t="s">
        <v>387</v>
      </c>
      <c r="G17" t="s">
        <v>255</v>
      </c>
      <c r="H17" t="s">
        <v>377</v>
      </c>
    </row>
    <row r="18" spans="1:8" x14ac:dyDescent="0.25">
      <c r="A18" t="s">
        <v>76</v>
      </c>
      <c r="B18" t="s">
        <v>259</v>
      </c>
      <c r="C18" t="s">
        <v>385</v>
      </c>
      <c r="D18" t="s">
        <v>386</v>
      </c>
      <c r="E18" t="s">
        <v>255</v>
      </c>
      <c r="F18" t="s">
        <v>387</v>
      </c>
      <c r="G18" t="s">
        <v>255</v>
      </c>
      <c r="H18" t="s">
        <v>377</v>
      </c>
    </row>
    <row r="19" spans="1:8" x14ac:dyDescent="0.25">
      <c r="A19" t="s">
        <v>78</v>
      </c>
      <c r="B19" t="s">
        <v>259</v>
      </c>
      <c r="C19" t="s">
        <v>385</v>
      </c>
      <c r="D19" t="s">
        <v>386</v>
      </c>
      <c r="E19" t="s">
        <v>259</v>
      </c>
      <c r="F19" t="s">
        <v>387</v>
      </c>
      <c r="G19" t="s">
        <v>259</v>
      </c>
      <c r="H19" t="s">
        <v>377</v>
      </c>
    </row>
    <row r="20" spans="1:8" x14ac:dyDescent="0.25">
      <c r="A20" t="s">
        <v>80</v>
      </c>
      <c r="B20" t="s">
        <v>255</v>
      </c>
      <c r="C20" t="s">
        <v>388</v>
      </c>
      <c r="D20" t="s">
        <v>386</v>
      </c>
      <c r="E20" t="s">
        <v>259</v>
      </c>
      <c r="F20" t="s">
        <v>389</v>
      </c>
      <c r="G20" t="s">
        <v>255</v>
      </c>
      <c r="H20" t="s">
        <v>378</v>
      </c>
    </row>
    <row r="21" spans="1:8" x14ac:dyDescent="0.25">
      <c r="A21" t="s">
        <v>83</v>
      </c>
      <c r="B21" t="s">
        <v>255</v>
      </c>
      <c r="C21" t="s">
        <v>388</v>
      </c>
      <c r="D21" t="s">
        <v>386</v>
      </c>
      <c r="E21" t="s">
        <v>259</v>
      </c>
      <c r="F21" t="s">
        <v>387</v>
      </c>
      <c r="G21" t="s">
        <v>255</v>
      </c>
      <c r="H21" t="s">
        <v>378</v>
      </c>
    </row>
    <row r="22" spans="1:8" x14ac:dyDescent="0.25">
      <c r="A22" t="s">
        <v>85</v>
      </c>
      <c r="B22" t="s">
        <v>259</v>
      </c>
      <c r="C22" t="s">
        <v>385</v>
      </c>
      <c r="D22" t="s">
        <v>386</v>
      </c>
      <c r="E22" t="s">
        <v>259</v>
      </c>
      <c r="F22" t="s">
        <v>387</v>
      </c>
      <c r="G22" t="s">
        <v>255</v>
      </c>
      <c r="H22" t="s">
        <v>377</v>
      </c>
    </row>
    <row r="23" spans="1:8" x14ac:dyDescent="0.25">
      <c r="A23" t="s">
        <v>87</v>
      </c>
      <c r="B23" t="s">
        <v>255</v>
      </c>
      <c r="C23" t="s">
        <v>391</v>
      </c>
      <c r="D23" t="s">
        <v>386</v>
      </c>
      <c r="E23" t="s">
        <v>259</v>
      </c>
      <c r="F23" t="s">
        <v>390</v>
      </c>
      <c r="G23" t="s">
        <v>255</v>
      </c>
      <c r="H23" t="s">
        <v>379</v>
      </c>
    </row>
    <row r="24" spans="1:8" x14ac:dyDescent="0.25">
      <c r="A24" t="s">
        <v>89</v>
      </c>
      <c r="B24" t="s">
        <v>259</v>
      </c>
      <c r="C24" t="s">
        <v>385</v>
      </c>
      <c r="D24" t="s">
        <v>386</v>
      </c>
      <c r="E24" t="s">
        <v>259</v>
      </c>
      <c r="F24" t="s">
        <v>387</v>
      </c>
      <c r="G24" t="s">
        <v>259</v>
      </c>
      <c r="H24" t="s">
        <v>377</v>
      </c>
    </row>
    <row r="25" spans="1:8" x14ac:dyDescent="0.25">
      <c r="A25" t="s">
        <v>91</v>
      </c>
      <c r="B25" t="s">
        <v>259</v>
      </c>
      <c r="C25" t="s">
        <v>385</v>
      </c>
      <c r="D25" t="s">
        <v>386</v>
      </c>
      <c r="E25" t="s">
        <v>259</v>
      </c>
      <c r="F25" t="s">
        <v>387</v>
      </c>
      <c r="G25" t="s">
        <v>255</v>
      </c>
      <c r="H25" t="s">
        <v>377</v>
      </c>
    </row>
    <row r="26" spans="1:8" x14ac:dyDescent="0.25">
      <c r="A26" t="s">
        <v>94</v>
      </c>
      <c r="B26" t="s">
        <v>259</v>
      </c>
      <c r="C26" t="s">
        <v>385</v>
      </c>
      <c r="D26" t="s">
        <v>386</v>
      </c>
      <c r="E26" t="s">
        <v>259</v>
      </c>
      <c r="F26" t="s">
        <v>387</v>
      </c>
      <c r="G26" t="s">
        <v>255</v>
      </c>
      <c r="H26" t="s">
        <v>377</v>
      </c>
    </row>
    <row r="27" spans="1:8" x14ac:dyDescent="0.25">
      <c r="A27" t="s">
        <v>96</v>
      </c>
      <c r="B27" t="s">
        <v>259</v>
      </c>
      <c r="C27" t="s">
        <v>385</v>
      </c>
      <c r="D27" t="s">
        <v>386</v>
      </c>
      <c r="E27" t="s">
        <v>259</v>
      </c>
      <c r="F27" t="s">
        <v>390</v>
      </c>
      <c r="G27" t="s">
        <v>255</v>
      </c>
      <c r="H27" t="s">
        <v>377</v>
      </c>
    </row>
    <row r="28" spans="1:8" x14ac:dyDescent="0.25">
      <c r="A28" t="s">
        <v>97</v>
      </c>
      <c r="B28" t="s">
        <v>259</v>
      </c>
      <c r="C28" t="s">
        <v>385</v>
      </c>
      <c r="D28" t="s">
        <v>386</v>
      </c>
      <c r="E28" t="s">
        <v>259</v>
      </c>
      <c r="F28" t="s">
        <v>390</v>
      </c>
      <c r="G28" t="s">
        <v>255</v>
      </c>
      <c r="H28" t="s">
        <v>377</v>
      </c>
    </row>
    <row r="29" spans="1:8" x14ac:dyDescent="0.25">
      <c r="A29" t="s">
        <v>99</v>
      </c>
      <c r="B29" t="s">
        <v>259</v>
      </c>
      <c r="C29" t="s">
        <v>385</v>
      </c>
      <c r="D29" t="s">
        <v>386</v>
      </c>
      <c r="E29" t="s">
        <v>255</v>
      </c>
      <c r="F29" t="s">
        <v>390</v>
      </c>
      <c r="G29" t="s">
        <v>255</v>
      </c>
      <c r="H29" t="s">
        <v>377</v>
      </c>
    </row>
    <row r="30" spans="1:8" x14ac:dyDescent="0.25">
      <c r="A30" t="s">
        <v>101</v>
      </c>
      <c r="B30" t="s">
        <v>259</v>
      </c>
      <c r="C30" t="s">
        <v>385</v>
      </c>
      <c r="D30" t="s">
        <v>386</v>
      </c>
      <c r="E30" t="s">
        <v>255</v>
      </c>
      <c r="F30" t="s">
        <v>387</v>
      </c>
      <c r="G30" t="s">
        <v>255</v>
      </c>
      <c r="H30" t="s">
        <v>377</v>
      </c>
    </row>
    <row r="31" spans="1:8" x14ac:dyDescent="0.25">
      <c r="A31" t="s">
        <v>103</v>
      </c>
      <c r="B31" t="s">
        <v>259</v>
      </c>
      <c r="C31" t="s">
        <v>385</v>
      </c>
      <c r="D31" t="s">
        <v>386</v>
      </c>
      <c r="E31" t="s">
        <v>255</v>
      </c>
      <c r="F31" t="s">
        <v>390</v>
      </c>
      <c r="G31" t="s">
        <v>259</v>
      </c>
      <c r="H31" t="s">
        <v>377</v>
      </c>
    </row>
    <row r="32" spans="1:8" x14ac:dyDescent="0.25">
      <c r="A32" t="s">
        <v>106</v>
      </c>
      <c r="B32" t="s">
        <v>259</v>
      </c>
      <c r="C32" t="s">
        <v>385</v>
      </c>
      <c r="D32" t="s">
        <v>386</v>
      </c>
      <c r="E32" t="s">
        <v>259</v>
      </c>
      <c r="F32" t="s">
        <v>387</v>
      </c>
      <c r="G32" t="s">
        <v>255</v>
      </c>
      <c r="H32" t="s">
        <v>377</v>
      </c>
    </row>
    <row r="33" spans="1:8" x14ac:dyDescent="0.25">
      <c r="A33" t="s">
        <v>108</v>
      </c>
      <c r="B33" t="s">
        <v>259</v>
      </c>
      <c r="C33" t="s">
        <v>385</v>
      </c>
      <c r="D33" t="s">
        <v>386</v>
      </c>
      <c r="E33" t="s">
        <v>255</v>
      </c>
      <c r="F33" t="s">
        <v>387</v>
      </c>
      <c r="G33" t="s">
        <v>255</v>
      </c>
      <c r="H33" t="s">
        <v>377</v>
      </c>
    </row>
    <row r="34" spans="1:8" x14ac:dyDescent="0.25">
      <c r="A34" t="s">
        <v>110</v>
      </c>
      <c r="B34" t="s">
        <v>255</v>
      </c>
      <c r="C34" t="s">
        <v>391</v>
      </c>
      <c r="D34" t="s">
        <v>386</v>
      </c>
      <c r="E34" t="s">
        <v>255</v>
      </c>
      <c r="F34" t="s">
        <v>387</v>
      </c>
      <c r="G34" t="s">
        <v>255</v>
      </c>
      <c r="H34" t="s">
        <v>378</v>
      </c>
    </row>
    <row r="35" spans="1:8" x14ac:dyDescent="0.25">
      <c r="A35" t="s">
        <v>112</v>
      </c>
      <c r="B35" t="s">
        <v>259</v>
      </c>
      <c r="C35" t="s">
        <v>385</v>
      </c>
      <c r="D35" t="s">
        <v>386</v>
      </c>
      <c r="E35" t="s">
        <v>259</v>
      </c>
      <c r="F35" t="s">
        <v>387</v>
      </c>
      <c r="G35" t="s">
        <v>255</v>
      </c>
      <c r="H35" t="s">
        <v>377</v>
      </c>
    </row>
    <row r="36" spans="1:8" x14ac:dyDescent="0.25">
      <c r="A36" t="s">
        <v>114</v>
      </c>
      <c r="B36" t="s">
        <v>259</v>
      </c>
      <c r="C36" t="s">
        <v>385</v>
      </c>
      <c r="D36" t="s">
        <v>386</v>
      </c>
      <c r="E36" t="s">
        <v>259</v>
      </c>
      <c r="F36" t="s">
        <v>387</v>
      </c>
      <c r="G36" t="s">
        <v>255</v>
      </c>
      <c r="H36" t="s">
        <v>377</v>
      </c>
    </row>
    <row r="37" spans="1:8" x14ac:dyDescent="0.25">
      <c r="A37" t="s">
        <v>116</v>
      </c>
      <c r="B37" t="s">
        <v>259</v>
      </c>
      <c r="C37" t="s">
        <v>385</v>
      </c>
      <c r="D37" t="s">
        <v>392</v>
      </c>
      <c r="E37" t="s">
        <v>255</v>
      </c>
      <c r="F37" t="s">
        <v>390</v>
      </c>
      <c r="G37" t="s">
        <v>259</v>
      </c>
      <c r="H37" t="s">
        <v>380</v>
      </c>
    </row>
    <row r="38" spans="1:8" x14ac:dyDescent="0.25">
      <c r="A38" t="s">
        <v>118</v>
      </c>
      <c r="B38" t="s">
        <v>259</v>
      </c>
      <c r="C38" t="s">
        <v>385</v>
      </c>
      <c r="D38" t="s">
        <v>386</v>
      </c>
      <c r="E38" t="s">
        <v>259</v>
      </c>
      <c r="F38" t="s">
        <v>387</v>
      </c>
      <c r="G38" t="s">
        <v>255</v>
      </c>
      <c r="H38" t="s">
        <v>377</v>
      </c>
    </row>
    <row r="39" spans="1:8" x14ac:dyDescent="0.25">
      <c r="A39" t="s">
        <v>120</v>
      </c>
      <c r="B39" t="s">
        <v>259</v>
      </c>
      <c r="C39" t="s">
        <v>385</v>
      </c>
      <c r="D39" t="s">
        <v>392</v>
      </c>
      <c r="E39" t="s">
        <v>255</v>
      </c>
      <c r="F39" t="s">
        <v>387</v>
      </c>
      <c r="G39" t="s">
        <v>255</v>
      </c>
      <c r="H39" t="s">
        <v>380</v>
      </c>
    </row>
    <row r="40" spans="1:8" x14ac:dyDescent="0.25">
      <c r="A40" t="s">
        <v>123</v>
      </c>
      <c r="B40" t="s">
        <v>259</v>
      </c>
      <c r="C40" t="s">
        <v>385</v>
      </c>
      <c r="D40" t="s">
        <v>386</v>
      </c>
      <c r="E40" t="s">
        <v>255</v>
      </c>
      <c r="F40" t="s">
        <v>390</v>
      </c>
      <c r="G40" t="s">
        <v>255</v>
      </c>
      <c r="H40" t="s">
        <v>377</v>
      </c>
    </row>
    <row r="41" spans="1:8" x14ac:dyDescent="0.25">
      <c r="A41" t="s">
        <v>125</v>
      </c>
      <c r="B41" t="s">
        <v>259</v>
      </c>
      <c r="C41" t="s">
        <v>385</v>
      </c>
      <c r="D41" t="s">
        <v>386</v>
      </c>
      <c r="E41" t="s">
        <v>259</v>
      </c>
      <c r="F41" t="s">
        <v>387</v>
      </c>
      <c r="G41" t="s">
        <v>255</v>
      </c>
      <c r="H41" t="s">
        <v>377</v>
      </c>
    </row>
    <row r="42" spans="1:8" x14ac:dyDescent="0.25">
      <c r="A42" t="s">
        <v>128</v>
      </c>
      <c r="B42" t="s">
        <v>255</v>
      </c>
      <c r="C42" t="s">
        <v>388</v>
      </c>
      <c r="D42" t="s">
        <v>386</v>
      </c>
      <c r="E42" t="s">
        <v>259</v>
      </c>
      <c r="F42" t="s">
        <v>390</v>
      </c>
      <c r="G42" t="s">
        <v>255</v>
      </c>
      <c r="H42" t="s">
        <v>379</v>
      </c>
    </row>
    <row r="43" spans="1:8" x14ac:dyDescent="0.25">
      <c r="A43" t="s">
        <v>130</v>
      </c>
      <c r="B43" t="s">
        <v>255</v>
      </c>
      <c r="C43" t="s">
        <v>391</v>
      </c>
      <c r="D43" t="s">
        <v>392</v>
      </c>
      <c r="E43" t="s">
        <v>255</v>
      </c>
      <c r="F43" t="s">
        <v>389</v>
      </c>
      <c r="G43" t="s">
        <v>255</v>
      </c>
      <c r="H43" t="s">
        <v>380</v>
      </c>
    </row>
    <row r="44" spans="1:8" x14ac:dyDescent="0.25">
      <c r="A44" t="s">
        <v>132</v>
      </c>
      <c r="B44" t="s">
        <v>259</v>
      </c>
      <c r="C44" t="s">
        <v>385</v>
      </c>
      <c r="D44" t="s">
        <v>386</v>
      </c>
      <c r="E44" t="s">
        <v>259</v>
      </c>
      <c r="F44" t="s">
        <v>389</v>
      </c>
      <c r="G44" t="s">
        <v>255</v>
      </c>
      <c r="H44" t="s">
        <v>378</v>
      </c>
    </row>
    <row r="45" spans="1:8" x14ac:dyDescent="0.25">
      <c r="A45" t="s">
        <v>134</v>
      </c>
      <c r="B45" t="s">
        <v>259</v>
      </c>
      <c r="C45" t="s">
        <v>385</v>
      </c>
      <c r="D45" t="s">
        <v>386</v>
      </c>
      <c r="E45" t="s">
        <v>259</v>
      </c>
      <c r="F45" t="s">
        <v>390</v>
      </c>
      <c r="G45" t="s">
        <v>255</v>
      </c>
      <c r="H45" t="s">
        <v>377</v>
      </c>
    </row>
    <row r="46" spans="1:8" x14ac:dyDescent="0.25">
      <c r="A46" t="s">
        <v>135</v>
      </c>
      <c r="B46" t="s">
        <v>259</v>
      </c>
      <c r="C46" t="s">
        <v>385</v>
      </c>
      <c r="D46" t="s">
        <v>386</v>
      </c>
      <c r="E46" t="s">
        <v>259</v>
      </c>
      <c r="F46" t="s">
        <v>387</v>
      </c>
      <c r="G46" t="s">
        <v>255</v>
      </c>
      <c r="H46" t="s">
        <v>377</v>
      </c>
    </row>
    <row r="47" spans="1:8" x14ac:dyDescent="0.25">
      <c r="A47" t="s">
        <v>137</v>
      </c>
      <c r="B47" t="s">
        <v>259</v>
      </c>
      <c r="C47" t="s">
        <v>385</v>
      </c>
      <c r="D47" t="s">
        <v>386</v>
      </c>
      <c r="E47" t="s">
        <v>255</v>
      </c>
      <c r="F47" t="s">
        <v>387</v>
      </c>
      <c r="G47" t="s">
        <v>255</v>
      </c>
      <c r="H47" t="s">
        <v>377</v>
      </c>
    </row>
    <row r="48" spans="1:8" x14ac:dyDescent="0.25">
      <c r="A48" t="s">
        <v>139</v>
      </c>
      <c r="B48" t="s">
        <v>259</v>
      </c>
      <c r="C48" t="s">
        <v>385</v>
      </c>
      <c r="D48" t="s">
        <v>386</v>
      </c>
      <c r="E48" t="s">
        <v>259</v>
      </c>
      <c r="F48" t="s">
        <v>387</v>
      </c>
      <c r="G48" t="s">
        <v>255</v>
      </c>
      <c r="H48" t="s">
        <v>377</v>
      </c>
    </row>
    <row r="49" spans="1:8" x14ac:dyDescent="0.25">
      <c r="A49" t="s">
        <v>141</v>
      </c>
      <c r="B49" t="s">
        <v>255</v>
      </c>
      <c r="C49" t="s">
        <v>391</v>
      </c>
      <c r="D49" t="s">
        <v>386</v>
      </c>
      <c r="E49" t="s">
        <v>255</v>
      </c>
      <c r="F49" t="s">
        <v>387</v>
      </c>
      <c r="G49" t="s">
        <v>255</v>
      </c>
      <c r="H49" t="s">
        <v>378</v>
      </c>
    </row>
    <row r="50" spans="1:8" x14ac:dyDescent="0.25">
      <c r="A50" t="s">
        <v>143</v>
      </c>
      <c r="B50" t="s">
        <v>255</v>
      </c>
      <c r="C50" t="s">
        <v>388</v>
      </c>
      <c r="D50" t="s">
        <v>386</v>
      </c>
      <c r="E50" t="s">
        <v>255</v>
      </c>
      <c r="F50" t="s">
        <v>387</v>
      </c>
      <c r="G50" t="s">
        <v>255</v>
      </c>
      <c r="H50" t="s">
        <v>378</v>
      </c>
    </row>
    <row r="51" spans="1:8" x14ac:dyDescent="0.25">
      <c r="A51" t="s">
        <v>145</v>
      </c>
      <c r="B51" t="s">
        <v>255</v>
      </c>
      <c r="C51" t="s">
        <v>391</v>
      </c>
      <c r="D51" t="s">
        <v>386</v>
      </c>
      <c r="E51" t="s">
        <v>259</v>
      </c>
      <c r="F51" t="s">
        <v>389</v>
      </c>
      <c r="G51" t="s">
        <v>255</v>
      </c>
      <c r="H51" t="s">
        <v>378</v>
      </c>
    </row>
    <row r="52" spans="1:8" x14ac:dyDescent="0.25">
      <c r="A52" t="s">
        <v>147</v>
      </c>
      <c r="B52" t="s">
        <v>259</v>
      </c>
      <c r="C52" t="s">
        <v>385</v>
      </c>
      <c r="D52" t="s">
        <v>392</v>
      </c>
      <c r="E52" t="s">
        <v>255</v>
      </c>
      <c r="F52" t="s">
        <v>387</v>
      </c>
      <c r="G52" t="s">
        <v>255</v>
      </c>
      <c r="H52" t="s">
        <v>380</v>
      </c>
    </row>
    <row r="53" spans="1:8" x14ac:dyDescent="0.25">
      <c r="A53" t="s">
        <v>149</v>
      </c>
      <c r="B53" t="s">
        <v>259</v>
      </c>
      <c r="C53" t="s">
        <v>385</v>
      </c>
      <c r="D53" t="s">
        <v>386</v>
      </c>
      <c r="E53" t="s">
        <v>259</v>
      </c>
      <c r="F53" t="s">
        <v>387</v>
      </c>
      <c r="G53" t="s">
        <v>255</v>
      </c>
      <c r="H53" t="s">
        <v>377</v>
      </c>
    </row>
    <row r="54" spans="1:8" x14ac:dyDescent="0.25">
      <c r="A54" t="s">
        <v>151</v>
      </c>
      <c r="B54" t="s">
        <v>259</v>
      </c>
      <c r="C54" t="s">
        <v>385</v>
      </c>
      <c r="D54" t="s">
        <v>386</v>
      </c>
      <c r="E54" t="s">
        <v>259</v>
      </c>
      <c r="F54" t="s">
        <v>389</v>
      </c>
      <c r="G54" t="s">
        <v>255</v>
      </c>
      <c r="H54" t="s">
        <v>378</v>
      </c>
    </row>
    <row r="55" spans="1:8" x14ac:dyDescent="0.25">
      <c r="A55" t="s">
        <v>153</v>
      </c>
      <c r="B55" t="s">
        <v>259</v>
      </c>
      <c r="C55" t="s">
        <v>385</v>
      </c>
      <c r="D55" t="s">
        <v>386</v>
      </c>
      <c r="E55" t="s">
        <v>255</v>
      </c>
      <c r="F55" t="s">
        <v>389</v>
      </c>
      <c r="G55" t="s">
        <v>255</v>
      </c>
      <c r="H55" t="s">
        <v>378</v>
      </c>
    </row>
    <row r="56" spans="1:8" x14ac:dyDescent="0.25">
      <c r="A56" t="s">
        <v>155</v>
      </c>
      <c r="B56" t="s">
        <v>259</v>
      </c>
      <c r="C56" t="s">
        <v>385</v>
      </c>
      <c r="D56" t="s">
        <v>386</v>
      </c>
      <c r="E56" t="s">
        <v>259</v>
      </c>
      <c r="F56" t="s">
        <v>390</v>
      </c>
      <c r="G56" t="s">
        <v>255</v>
      </c>
      <c r="H56" t="s">
        <v>377</v>
      </c>
    </row>
    <row r="57" spans="1:8" x14ac:dyDescent="0.25">
      <c r="A57" t="s">
        <v>157</v>
      </c>
      <c r="B57" t="s">
        <v>259</v>
      </c>
      <c r="C57" t="s">
        <v>385</v>
      </c>
      <c r="D57" t="s">
        <v>392</v>
      </c>
      <c r="E57" t="s">
        <v>259</v>
      </c>
      <c r="F57" t="s">
        <v>390</v>
      </c>
      <c r="G57" t="s">
        <v>255</v>
      </c>
      <c r="H57" t="s">
        <v>380</v>
      </c>
    </row>
    <row r="58" spans="1:8" x14ac:dyDescent="0.25">
      <c r="A58" t="s">
        <v>159</v>
      </c>
      <c r="B58" t="s">
        <v>255</v>
      </c>
      <c r="C58" t="s">
        <v>388</v>
      </c>
      <c r="D58" t="s">
        <v>386</v>
      </c>
      <c r="E58" t="s">
        <v>259</v>
      </c>
      <c r="F58" t="s">
        <v>390</v>
      </c>
      <c r="G58" t="s">
        <v>255</v>
      </c>
      <c r="H58" t="s">
        <v>379</v>
      </c>
    </row>
    <row r="59" spans="1:8" x14ac:dyDescent="0.25">
      <c r="A59" t="s">
        <v>160</v>
      </c>
      <c r="B59" t="s">
        <v>259</v>
      </c>
      <c r="C59" t="s">
        <v>385</v>
      </c>
      <c r="D59" t="s">
        <v>386</v>
      </c>
      <c r="E59" t="s">
        <v>259</v>
      </c>
      <c r="F59" t="s">
        <v>390</v>
      </c>
      <c r="G59" t="s">
        <v>255</v>
      </c>
      <c r="H59" t="s">
        <v>377</v>
      </c>
    </row>
    <row r="60" spans="1:8" x14ac:dyDescent="0.25">
      <c r="A60" t="s">
        <v>162</v>
      </c>
      <c r="B60" t="s">
        <v>255</v>
      </c>
      <c r="C60" t="s">
        <v>388</v>
      </c>
      <c r="D60" t="s">
        <v>386</v>
      </c>
      <c r="E60" t="s">
        <v>259</v>
      </c>
      <c r="F60" t="s">
        <v>389</v>
      </c>
      <c r="G60" t="s">
        <v>259</v>
      </c>
      <c r="H60" t="s">
        <v>378</v>
      </c>
    </row>
    <row r="61" spans="1:8" x14ac:dyDescent="0.25">
      <c r="A61" t="s">
        <v>163</v>
      </c>
      <c r="B61" t="s">
        <v>259</v>
      </c>
      <c r="C61" t="s">
        <v>385</v>
      </c>
      <c r="D61" t="s">
        <v>386</v>
      </c>
      <c r="E61" t="s">
        <v>259</v>
      </c>
      <c r="F61" t="s">
        <v>390</v>
      </c>
      <c r="G61" t="s">
        <v>255</v>
      </c>
      <c r="H61" t="s">
        <v>377</v>
      </c>
    </row>
    <row r="62" spans="1:8" x14ac:dyDescent="0.25">
      <c r="A62" t="s">
        <v>165</v>
      </c>
      <c r="B62" t="s">
        <v>259</v>
      </c>
      <c r="C62" t="s">
        <v>385</v>
      </c>
      <c r="D62" t="s">
        <v>386</v>
      </c>
      <c r="E62" t="s">
        <v>255</v>
      </c>
      <c r="F62" t="s">
        <v>389</v>
      </c>
      <c r="G62" t="s">
        <v>255</v>
      </c>
      <c r="H62" t="s">
        <v>378</v>
      </c>
    </row>
    <row r="63" spans="1:8" x14ac:dyDescent="0.25">
      <c r="A63" t="s">
        <v>167</v>
      </c>
      <c r="B63" t="s">
        <v>255</v>
      </c>
      <c r="C63" t="s">
        <v>391</v>
      </c>
      <c r="D63" t="s">
        <v>386</v>
      </c>
      <c r="E63" t="s">
        <v>255</v>
      </c>
      <c r="F63" t="s">
        <v>387</v>
      </c>
      <c r="G63" t="s">
        <v>255</v>
      </c>
      <c r="H63" t="s">
        <v>378</v>
      </c>
    </row>
    <row r="64" spans="1:8" x14ac:dyDescent="0.25">
      <c r="A64" t="s">
        <v>169</v>
      </c>
      <c r="B64" t="s">
        <v>259</v>
      </c>
      <c r="C64" t="s">
        <v>385</v>
      </c>
      <c r="D64" t="s">
        <v>386</v>
      </c>
      <c r="E64" t="s">
        <v>259</v>
      </c>
      <c r="F64" t="s">
        <v>389</v>
      </c>
      <c r="G64" t="s">
        <v>255</v>
      </c>
      <c r="H64" t="s">
        <v>378</v>
      </c>
    </row>
    <row r="65" spans="1:8" x14ac:dyDescent="0.25">
      <c r="A65" t="s">
        <v>171</v>
      </c>
      <c r="B65" t="s">
        <v>255</v>
      </c>
      <c r="C65" t="s">
        <v>388</v>
      </c>
      <c r="D65" t="s">
        <v>386</v>
      </c>
      <c r="E65" t="s">
        <v>259</v>
      </c>
      <c r="F65" t="s">
        <v>387</v>
      </c>
      <c r="G65" t="s">
        <v>255</v>
      </c>
      <c r="H65" t="s">
        <v>378</v>
      </c>
    </row>
    <row r="66" spans="1:8" x14ac:dyDescent="0.25">
      <c r="A66" t="s">
        <v>172</v>
      </c>
      <c r="B66" t="s">
        <v>259</v>
      </c>
      <c r="C66" t="s">
        <v>385</v>
      </c>
      <c r="D66" t="s">
        <v>386</v>
      </c>
      <c r="E66" t="s">
        <v>255</v>
      </c>
      <c r="F66" t="s">
        <v>387</v>
      </c>
      <c r="G66" t="s">
        <v>255</v>
      </c>
      <c r="H66" t="s">
        <v>377</v>
      </c>
    </row>
    <row r="67" spans="1:8" x14ac:dyDescent="0.25">
      <c r="A67" t="s">
        <v>174</v>
      </c>
      <c r="B67" t="s">
        <v>255</v>
      </c>
      <c r="C67" t="s">
        <v>388</v>
      </c>
      <c r="D67" t="s">
        <v>386</v>
      </c>
      <c r="E67" t="s">
        <v>259</v>
      </c>
      <c r="F67" t="s">
        <v>387</v>
      </c>
      <c r="G67" t="s">
        <v>259</v>
      </c>
      <c r="H67" t="s">
        <v>378</v>
      </c>
    </row>
    <row r="68" spans="1:8" x14ac:dyDescent="0.25">
      <c r="A68" t="s">
        <v>176</v>
      </c>
      <c r="B68" t="s">
        <v>259</v>
      </c>
      <c r="C68" t="s">
        <v>385</v>
      </c>
      <c r="D68" t="s">
        <v>386</v>
      </c>
      <c r="E68" t="s">
        <v>259</v>
      </c>
      <c r="F68" t="s">
        <v>389</v>
      </c>
      <c r="G68" t="s">
        <v>255</v>
      </c>
      <c r="H68" t="s">
        <v>378</v>
      </c>
    </row>
    <row r="69" spans="1:8" x14ac:dyDescent="0.25">
      <c r="A69" t="s">
        <v>178</v>
      </c>
      <c r="B69" t="s">
        <v>259</v>
      </c>
      <c r="C69" t="s">
        <v>385</v>
      </c>
      <c r="D69" t="s">
        <v>386</v>
      </c>
      <c r="E69" t="s">
        <v>259</v>
      </c>
      <c r="F69" t="s">
        <v>389</v>
      </c>
      <c r="G69" t="s">
        <v>255</v>
      </c>
      <c r="H69" t="s">
        <v>378</v>
      </c>
    </row>
    <row r="70" spans="1:8" x14ac:dyDescent="0.25">
      <c r="A70" t="s">
        <v>180</v>
      </c>
      <c r="B70" t="s">
        <v>259</v>
      </c>
      <c r="C70" t="s">
        <v>385</v>
      </c>
      <c r="D70" t="s">
        <v>386</v>
      </c>
      <c r="E70" t="s">
        <v>259</v>
      </c>
      <c r="F70" t="s">
        <v>389</v>
      </c>
      <c r="G70" t="s">
        <v>259</v>
      </c>
      <c r="H70" t="s">
        <v>378</v>
      </c>
    </row>
    <row r="71" spans="1:8" x14ac:dyDescent="0.25">
      <c r="A71" t="s">
        <v>182</v>
      </c>
      <c r="B71" t="s">
        <v>259</v>
      </c>
      <c r="C71" t="s">
        <v>385</v>
      </c>
      <c r="D71" t="s">
        <v>386</v>
      </c>
      <c r="E71" t="s">
        <v>255</v>
      </c>
      <c r="F71" t="s">
        <v>390</v>
      </c>
      <c r="G71" t="s">
        <v>255</v>
      </c>
      <c r="H71" t="s">
        <v>377</v>
      </c>
    </row>
    <row r="72" spans="1:8" x14ac:dyDescent="0.25">
      <c r="A72" t="s">
        <v>184</v>
      </c>
      <c r="B72" t="s">
        <v>259</v>
      </c>
      <c r="C72" t="s">
        <v>385</v>
      </c>
      <c r="D72" t="s">
        <v>386</v>
      </c>
      <c r="E72" t="s">
        <v>259</v>
      </c>
      <c r="F72" t="s">
        <v>387</v>
      </c>
      <c r="G72" t="s">
        <v>255</v>
      </c>
      <c r="H72" t="s">
        <v>377</v>
      </c>
    </row>
    <row r="73" spans="1:8" x14ac:dyDescent="0.25">
      <c r="A73" t="s">
        <v>188</v>
      </c>
      <c r="B73" t="s">
        <v>255</v>
      </c>
      <c r="C73" t="s">
        <v>388</v>
      </c>
      <c r="D73" t="s">
        <v>386</v>
      </c>
      <c r="E73" t="s">
        <v>259</v>
      </c>
      <c r="F73" t="s">
        <v>387</v>
      </c>
      <c r="G73" t="s">
        <v>259</v>
      </c>
      <c r="H73" t="s">
        <v>378</v>
      </c>
    </row>
    <row r="74" spans="1:8" x14ac:dyDescent="0.25">
      <c r="A74" t="s">
        <v>190</v>
      </c>
      <c r="B74" t="s">
        <v>259</v>
      </c>
      <c r="C74" t="s">
        <v>385</v>
      </c>
      <c r="D74" t="s">
        <v>386</v>
      </c>
      <c r="E74" t="s">
        <v>259</v>
      </c>
      <c r="F74" t="s">
        <v>390</v>
      </c>
      <c r="G74" t="s">
        <v>255</v>
      </c>
      <c r="H74" t="s">
        <v>377</v>
      </c>
    </row>
    <row r="75" spans="1:8" x14ac:dyDescent="0.25">
      <c r="A75" t="s">
        <v>193</v>
      </c>
      <c r="B75" t="s">
        <v>255</v>
      </c>
      <c r="C75" t="s">
        <v>388</v>
      </c>
      <c r="D75" t="s">
        <v>386</v>
      </c>
      <c r="E75" t="s">
        <v>259</v>
      </c>
      <c r="F75" t="s">
        <v>387</v>
      </c>
      <c r="G75" t="s">
        <v>255</v>
      </c>
      <c r="H75" t="s">
        <v>378</v>
      </c>
    </row>
    <row r="76" spans="1:8" x14ac:dyDescent="0.25">
      <c r="A76" t="s">
        <v>195</v>
      </c>
      <c r="B76" t="s">
        <v>255</v>
      </c>
      <c r="C76" t="s">
        <v>391</v>
      </c>
      <c r="D76" t="s">
        <v>386</v>
      </c>
      <c r="E76" t="s">
        <v>255</v>
      </c>
      <c r="F76" t="s">
        <v>389</v>
      </c>
      <c r="G76" t="s">
        <v>255</v>
      </c>
      <c r="H76" t="s">
        <v>378</v>
      </c>
    </row>
    <row r="77" spans="1:8" x14ac:dyDescent="0.25">
      <c r="A77" t="s">
        <v>197</v>
      </c>
      <c r="B77" t="s">
        <v>259</v>
      </c>
      <c r="C77" t="s">
        <v>385</v>
      </c>
      <c r="D77" t="s">
        <v>386</v>
      </c>
      <c r="E77" t="s">
        <v>259</v>
      </c>
      <c r="F77" t="s">
        <v>390</v>
      </c>
      <c r="G77" t="s">
        <v>255</v>
      </c>
      <c r="H77" t="s">
        <v>377</v>
      </c>
    </row>
    <row r="78" spans="1:8" x14ac:dyDescent="0.25">
      <c r="A78" t="s">
        <v>200</v>
      </c>
      <c r="B78" t="s">
        <v>259</v>
      </c>
      <c r="C78" t="s">
        <v>385</v>
      </c>
      <c r="D78" t="s">
        <v>386</v>
      </c>
      <c r="E78" t="s">
        <v>259</v>
      </c>
      <c r="F78" t="s">
        <v>387</v>
      </c>
      <c r="G78" t="s">
        <v>255</v>
      </c>
      <c r="H78" t="s">
        <v>377</v>
      </c>
    </row>
    <row r="79" spans="1:8" x14ac:dyDescent="0.25">
      <c r="A79" t="s">
        <v>202</v>
      </c>
      <c r="B79" t="s">
        <v>259</v>
      </c>
      <c r="C79" t="s">
        <v>385</v>
      </c>
      <c r="D79" t="s">
        <v>386</v>
      </c>
      <c r="E79" t="s">
        <v>259</v>
      </c>
      <c r="F79" t="s">
        <v>389</v>
      </c>
      <c r="G79" t="s">
        <v>255</v>
      </c>
      <c r="H79" t="s">
        <v>378</v>
      </c>
    </row>
    <row r="80" spans="1:8" x14ac:dyDescent="0.25">
      <c r="A80" t="s">
        <v>204</v>
      </c>
      <c r="B80" t="s">
        <v>255</v>
      </c>
      <c r="C80" t="s">
        <v>391</v>
      </c>
      <c r="D80" t="s">
        <v>386</v>
      </c>
      <c r="E80" t="s">
        <v>259</v>
      </c>
      <c r="F80" t="s">
        <v>389</v>
      </c>
      <c r="G80" t="s">
        <v>255</v>
      </c>
      <c r="H80" t="s">
        <v>378</v>
      </c>
    </row>
    <row r="81" spans="1:8" x14ac:dyDescent="0.25">
      <c r="A81" t="s">
        <v>206</v>
      </c>
      <c r="B81" t="s">
        <v>259</v>
      </c>
      <c r="C81" t="s">
        <v>385</v>
      </c>
      <c r="D81" t="s">
        <v>386</v>
      </c>
      <c r="E81" t="s">
        <v>259</v>
      </c>
      <c r="F81" t="s">
        <v>390</v>
      </c>
      <c r="G81" t="s">
        <v>255</v>
      </c>
      <c r="H81" t="s">
        <v>377</v>
      </c>
    </row>
    <row r="82" spans="1:8" x14ac:dyDescent="0.25">
      <c r="A82" t="s">
        <v>208</v>
      </c>
      <c r="B82" t="s">
        <v>259</v>
      </c>
      <c r="C82" t="s">
        <v>385</v>
      </c>
      <c r="D82" t="s">
        <v>386</v>
      </c>
      <c r="E82" t="s">
        <v>259</v>
      </c>
      <c r="F82" t="s">
        <v>387</v>
      </c>
      <c r="G82" t="s">
        <v>255</v>
      </c>
      <c r="H82" t="s">
        <v>377</v>
      </c>
    </row>
    <row r="83" spans="1:8" x14ac:dyDescent="0.25">
      <c r="A83" t="s">
        <v>210</v>
      </c>
      <c r="B83" t="s">
        <v>255</v>
      </c>
      <c r="C83" t="s">
        <v>388</v>
      </c>
      <c r="D83" t="s">
        <v>386</v>
      </c>
      <c r="E83" t="s">
        <v>259</v>
      </c>
      <c r="F83" t="s">
        <v>390</v>
      </c>
      <c r="G83" t="s">
        <v>255</v>
      </c>
      <c r="H83" t="s">
        <v>379</v>
      </c>
    </row>
    <row r="84" spans="1:8" x14ac:dyDescent="0.25">
      <c r="A84" t="s">
        <v>212</v>
      </c>
      <c r="B84" t="s">
        <v>259</v>
      </c>
      <c r="C84" t="s">
        <v>385</v>
      </c>
      <c r="D84" t="s">
        <v>392</v>
      </c>
      <c r="E84" t="s">
        <v>259</v>
      </c>
      <c r="F84" t="s">
        <v>389</v>
      </c>
      <c r="G84" t="s">
        <v>255</v>
      </c>
      <c r="H84" t="s">
        <v>380</v>
      </c>
    </row>
    <row r="85" spans="1:8" x14ac:dyDescent="0.25">
      <c r="A85" t="s">
        <v>214</v>
      </c>
      <c r="B85" t="s">
        <v>255</v>
      </c>
      <c r="C85" t="s">
        <v>391</v>
      </c>
      <c r="D85" t="s">
        <v>386</v>
      </c>
      <c r="E85" t="s">
        <v>255</v>
      </c>
      <c r="F85" t="s">
        <v>387</v>
      </c>
      <c r="G85" t="s">
        <v>255</v>
      </c>
      <c r="H85" t="s">
        <v>378</v>
      </c>
    </row>
    <row r="86" spans="1:8" x14ac:dyDescent="0.25">
      <c r="A86" t="s">
        <v>216</v>
      </c>
      <c r="B86" t="s">
        <v>259</v>
      </c>
      <c r="C86" t="s">
        <v>385</v>
      </c>
      <c r="D86" t="s">
        <v>386</v>
      </c>
      <c r="E86" t="s">
        <v>259</v>
      </c>
      <c r="F86" t="s">
        <v>390</v>
      </c>
      <c r="G86" t="s">
        <v>255</v>
      </c>
      <c r="H86" t="s">
        <v>377</v>
      </c>
    </row>
    <row r="87" spans="1:8" x14ac:dyDescent="0.25">
      <c r="A87" t="s">
        <v>218</v>
      </c>
      <c r="B87" t="s">
        <v>259</v>
      </c>
      <c r="C87" t="s">
        <v>385</v>
      </c>
      <c r="D87" t="s">
        <v>386</v>
      </c>
      <c r="E87" t="s">
        <v>259</v>
      </c>
      <c r="F87" t="s">
        <v>387</v>
      </c>
      <c r="G87" t="s">
        <v>255</v>
      </c>
      <c r="H87" t="s">
        <v>377</v>
      </c>
    </row>
    <row r="88" spans="1:8" x14ac:dyDescent="0.25">
      <c r="A88" t="s">
        <v>220</v>
      </c>
      <c r="B88" t="s">
        <v>255</v>
      </c>
      <c r="C88" t="s">
        <v>391</v>
      </c>
      <c r="D88" t="s">
        <v>386</v>
      </c>
      <c r="E88" t="s">
        <v>259</v>
      </c>
      <c r="F88" t="s">
        <v>387</v>
      </c>
      <c r="G88" t="s">
        <v>255</v>
      </c>
      <c r="H88" t="s">
        <v>378</v>
      </c>
    </row>
    <row r="89" spans="1:8" x14ac:dyDescent="0.25">
      <c r="A89" t="s">
        <v>222</v>
      </c>
      <c r="B89" t="s">
        <v>255</v>
      </c>
      <c r="C89" t="s">
        <v>391</v>
      </c>
      <c r="D89" t="s">
        <v>386</v>
      </c>
      <c r="E89" t="s">
        <v>259</v>
      </c>
      <c r="F89" t="s">
        <v>387</v>
      </c>
      <c r="G89" t="s">
        <v>255</v>
      </c>
      <c r="H89" t="s">
        <v>378</v>
      </c>
    </row>
    <row r="90" spans="1:8" x14ac:dyDescent="0.25">
      <c r="A90" t="s">
        <v>224</v>
      </c>
      <c r="B90" t="s">
        <v>259</v>
      </c>
      <c r="C90" t="s">
        <v>385</v>
      </c>
      <c r="D90" t="s">
        <v>386</v>
      </c>
      <c r="E90" t="s">
        <v>259</v>
      </c>
      <c r="F90" t="s">
        <v>390</v>
      </c>
      <c r="G90" t="s">
        <v>255</v>
      </c>
      <c r="H90" t="s">
        <v>377</v>
      </c>
    </row>
    <row r="91" spans="1:8" x14ac:dyDescent="0.25">
      <c r="A91" t="s">
        <v>225</v>
      </c>
      <c r="B91" t="s">
        <v>259</v>
      </c>
      <c r="C91" t="s">
        <v>385</v>
      </c>
      <c r="D91" t="s">
        <v>386</v>
      </c>
      <c r="E91" t="s">
        <v>259</v>
      </c>
      <c r="F91" t="s">
        <v>389</v>
      </c>
      <c r="G91" t="s">
        <v>255</v>
      </c>
      <c r="H91" t="s">
        <v>378</v>
      </c>
    </row>
    <row r="92" spans="1:8" x14ac:dyDescent="0.25">
      <c r="A92" t="s">
        <v>227</v>
      </c>
      <c r="B92" t="s">
        <v>259</v>
      </c>
      <c r="C92" t="s">
        <v>385</v>
      </c>
      <c r="D92" t="s">
        <v>386</v>
      </c>
      <c r="E92" t="s">
        <v>259</v>
      </c>
      <c r="F92" t="s">
        <v>389</v>
      </c>
      <c r="G92" t="s">
        <v>255</v>
      </c>
      <c r="H92" t="s">
        <v>378</v>
      </c>
    </row>
    <row r="93" spans="1:8" x14ac:dyDescent="0.25">
      <c r="A93" t="s">
        <v>231</v>
      </c>
      <c r="B93" t="s">
        <v>255</v>
      </c>
      <c r="C93" t="s">
        <v>391</v>
      </c>
      <c r="D93" t="s">
        <v>386</v>
      </c>
      <c r="E93" t="s">
        <v>259</v>
      </c>
      <c r="F93" t="s">
        <v>389</v>
      </c>
      <c r="G93" t="s">
        <v>255</v>
      </c>
      <c r="H93" t="s">
        <v>378</v>
      </c>
    </row>
    <row r="94" spans="1:8" x14ac:dyDescent="0.25">
      <c r="A94" t="s">
        <v>233</v>
      </c>
      <c r="B94" t="s">
        <v>255</v>
      </c>
      <c r="C94" t="s">
        <v>391</v>
      </c>
      <c r="D94" t="s">
        <v>386</v>
      </c>
      <c r="E94" t="s">
        <v>259</v>
      </c>
      <c r="F94" t="s">
        <v>390</v>
      </c>
      <c r="G94" t="s">
        <v>255</v>
      </c>
      <c r="H94" t="s">
        <v>379</v>
      </c>
    </row>
    <row r="95" spans="1:8" x14ac:dyDescent="0.25">
      <c r="A95" t="s">
        <v>235</v>
      </c>
      <c r="B95" t="s">
        <v>259</v>
      </c>
      <c r="C95" t="s">
        <v>385</v>
      </c>
      <c r="D95" t="s">
        <v>386</v>
      </c>
      <c r="E95" t="s">
        <v>259</v>
      </c>
      <c r="F95" t="s">
        <v>387</v>
      </c>
      <c r="G95" t="s">
        <v>255</v>
      </c>
      <c r="H95" t="s">
        <v>377</v>
      </c>
    </row>
    <row r="96" spans="1:8" x14ac:dyDescent="0.25">
      <c r="A96" t="s">
        <v>236</v>
      </c>
      <c r="B96" t="s">
        <v>259</v>
      </c>
      <c r="C96" t="s">
        <v>385</v>
      </c>
      <c r="D96" t="s">
        <v>386</v>
      </c>
      <c r="E96" t="s">
        <v>259</v>
      </c>
      <c r="F96" t="s">
        <v>390</v>
      </c>
      <c r="G96" t="s">
        <v>255</v>
      </c>
      <c r="H96" t="s">
        <v>377</v>
      </c>
    </row>
    <row r="97" spans="1:8" x14ac:dyDescent="0.25">
      <c r="A97" t="s">
        <v>238</v>
      </c>
      <c r="B97" t="s">
        <v>259</v>
      </c>
      <c r="C97" t="s">
        <v>385</v>
      </c>
      <c r="D97" t="s">
        <v>386</v>
      </c>
      <c r="E97" t="s">
        <v>255</v>
      </c>
      <c r="F97" t="s">
        <v>387</v>
      </c>
      <c r="G97" t="s">
        <v>255</v>
      </c>
      <c r="H97" t="s">
        <v>377</v>
      </c>
    </row>
    <row r="98" spans="1:8" x14ac:dyDescent="0.25">
      <c r="A98" t="s">
        <v>239</v>
      </c>
      <c r="B98" t="s">
        <v>259</v>
      </c>
      <c r="C98" t="s">
        <v>385</v>
      </c>
      <c r="D98" t="s">
        <v>392</v>
      </c>
      <c r="E98" t="s">
        <v>259</v>
      </c>
      <c r="F98" t="s">
        <v>390</v>
      </c>
      <c r="G98" t="s">
        <v>259</v>
      </c>
      <c r="H98" t="s">
        <v>380</v>
      </c>
    </row>
    <row r="99" spans="1:8" x14ac:dyDescent="0.25">
      <c r="A99" t="s">
        <v>240</v>
      </c>
      <c r="B99" t="s">
        <v>255</v>
      </c>
      <c r="C99" t="s">
        <v>391</v>
      </c>
      <c r="D99" t="s">
        <v>386</v>
      </c>
      <c r="E99" t="s">
        <v>255</v>
      </c>
      <c r="F99" t="s">
        <v>390</v>
      </c>
      <c r="G99" t="s">
        <v>255</v>
      </c>
      <c r="H99" t="s">
        <v>379</v>
      </c>
    </row>
    <row r="100" spans="1:8" x14ac:dyDescent="0.25">
      <c r="A100" t="s">
        <v>241</v>
      </c>
      <c r="B100" t="s">
        <v>259</v>
      </c>
      <c r="C100" t="s">
        <v>385</v>
      </c>
      <c r="D100" t="s">
        <v>386</v>
      </c>
      <c r="E100" t="s">
        <v>255</v>
      </c>
      <c r="F100" t="s">
        <v>387</v>
      </c>
      <c r="G100" t="s">
        <v>255</v>
      </c>
      <c r="H100" t="s">
        <v>377</v>
      </c>
    </row>
    <row r="101" spans="1:8" x14ac:dyDescent="0.25">
      <c r="A101" t="s">
        <v>242</v>
      </c>
      <c r="B101" t="s">
        <v>259</v>
      </c>
      <c r="C101" t="s">
        <v>385</v>
      </c>
      <c r="D101" t="s">
        <v>386</v>
      </c>
      <c r="E101" t="s">
        <v>259</v>
      </c>
      <c r="F101" t="s">
        <v>387</v>
      </c>
      <c r="G101" t="s">
        <v>255</v>
      </c>
      <c r="H101" t="s">
        <v>377</v>
      </c>
    </row>
    <row r="212" spans="1:1" x14ac:dyDescent="0.25">
      <c r="A212" t="s">
        <v>578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26076-C3FB-4C77-B0E9-47729DBCF9BD}">
  <dimension ref="A1:V101"/>
  <sheetViews>
    <sheetView topLeftCell="M1" workbookViewId="0">
      <selection activeCell="V11" sqref="V11"/>
    </sheetView>
  </sheetViews>
  <sheetFormatPr defaultRowHeight="15" x14ac:dyDescent="0.25"/>
  <cols>
    <col min="1" max="1" width="14" customWidth="1"/>
    <col min="2" max="2" width="16.42578125" customWidth="1"/>
    <col min="3" max="3" width="15.42578125" bestFit="1" customWidth="1"/>
    <col min="4" max="4" width="17.5703125" bestFit="1" customWidth="1"/>
    <col min="5" max="5" width="17.7109375" bestFit="1" customWidth="1"/>
    <col min="6" max="6" width="20.5703125" bestFit="1" customWidth="1"/>
    <col min="7" max="7" width="17.85546875" customWidth="1"/>
    <col min="8" max="8" width="21.7109375" customWidth="1"/>
    <col min="9" max="9" width="15.42578125" customWidth="1"/>
    <col min="10" max="10" width="18.42578125" customWidth="1"/>
    <col min="11" max="11" width="15.28515625" customWidth="1"/>
    <col min="12" max="12" width="15.7109375" customWidth="1"/>
    <col min="13" max="13" width="17.140625" customWidth="1"/>
    <col min="14" max="14" width="17.42578125" customWidth="1"/>
    <col min="15" max="15" width="12.85546875" customWidth="1"/>
    <col min="16" max="16" width="12.7109375" customWidth="1"/>
    <col min="17" max="17" width="19.28515625" customWidth="1"/>
    <col min="18" max="18" width="16.7109375" customWidth="1"/>
    <col min="19" max="19" width="12.28515625" customWidth="1"/>
    <col min="20" max="20" width="18.42578125" customWidth="1"/>
    <col min="21" max="21" width="24.28515625" bestFit="1" customWidth="1"/>
    <col min="22" max="22" width="21.5703125" customWidth="1"/>
  </cols>
  <sheetData>
    <row r="1" spans="1:22" s="7" customFormat="1" x14ac:dyDescent="0.25">
      <c r="A1" s="6" t="s">
        <v>0</v>
      </c>
      <c r="B1" s="6" t="s">
        <v>2</v>
      </c>
      <c r="C1" s="6" t="s">
        <v>4</v>
      </c>
      <c r="D1" s="6" t="s">
        <v>375</v>
      </c>
      <c r="E1" s="6" t="s">
        <v>371</v>
      </c>
      <c r="F1" s="6" t="s">
        <v>8</v>
      </c>
      <c r="G1" s="6" t="s">
        <v>384</v>
      </c>
      <c r="H1" s="6" t="s">
        <v>399</v>
      </c>
      <c r="I1" s="6" t="s">
        <v>400</v>
      </c>
      <c r="J1" s="6" t="s">
        <v>409</v>
      </c>
      <c r="K1" s="6" t="s">
        <v>401</v>
      </c>
      <c r="L1" s="6" t="s">
        <v>402</v>
      </c>
      <c r="M1" s="6" t="s">
        <v>403</v>
      </c>
      <c r="N1" s="6" t="s">
        <v>404</v>
      </c>
      <c r="O1" s="6" t="s">
        <v>405</v>
      </c>
      <c r="P1" s="6" t="s">
        <v>406</v>
      </c>
      <c r="Q1" s="6" t="s">
        <v>410</v>
      </c>
      <c r="R1" s="6" t="s">
        <v>395</v>
      </c>
      <c r="S1" s="6" t="s">
        <v>412</v>
      </c>
      <c r="T1" s="6" t="s">
        <v>413</v>
      </c>
      <c r="U1" s="6" t="s">
        <v>414</v>
      </c>
      <c r="V1" s="8" t="s">
        <v>411</v>
      </c>
    </row>
    <row r="2" spans="1:22" x14ac:dyDescent="0.25">
      <c r="A2" t="s">
        <v>10</v>
      </c>
      <c r="B2" t="str">
        <f>IFERROR(_xlfn.XLOOKUP($A2,tblCustomers[Customer ID],tblCustomers[Customer Type]),"")</f>
        <v>Individual</v>
      </c>
      <c r="C2" t="str">
        <f>IFERROR(_xlfn.XLOOKUP($A2,tblCustomers[Customer ID],tblCustomers[Country]),"")</f>
        <v>South Africa</v>
      </c>
      <c r="D2" t="str">
        <f>IFERROR(_xlfn.XLOOKUP($A2,tblCustomers[Customer ID],tblCustomers[Occupation/Industry]),"")</f>
        <v>Architect</v>
      </c>
      <c r="E2" t="str">
        <f>IFERROR(_xlfn.XLOOKUP($A2,tblCustomers[Customer ID],tblCustomers[Product Requested]),"")</f>
        <v>Investment</v>
      </c>
      <c r="F2" t="str">
        <f>IFERROR(_xlfn.XLOOKUP($A2,tblCustomers[Customer ID],tblCustomers[Delivery Channel]),"")</f>
        <v>Branch</v>
      </c>
      <c r="G2" t="str">
        <f>IFERROR(_xlfn.XLOOKUP($A2,tblScreening[Customer ID],tblScreening[Screening Result]),"")</f>
        <v>Clear</v>
      </c>
      <c r="H2">
        <f>IFERROR(_xlfn.XLOOKUP(B2,tblCustomerType[Customer Type],tblCustomerType[Risk Score]),0)</f>
        <v>2</v>
      </c>
      <c r="I2">
        <f>IFERROR(_xlfn.XLOOKUP(C2,tblCountryRisk[Country],tblCountryRisk[Risk Score]),0)</f>
        <v>2</v>
      </c>
      <c r="J2">
        <f>IFERROR(_xlfn.XLOOKUP(D2,tblOccupationRisk[Occupation],tblOccupationRisk[Risk Score]),0)</f>
        <v>1</v>
      </c>
      <c r="K2">
        <f>IFERROR(_xlfn.XLOOKUP(E2,tblProductRisk[Product],tblProductRisk[Risk Score]),0)</f>
        <v>3</v>
      </c>
      <c r="L2">
        <f>IFERROR(_xlfn.XLOOKUP(F2,tblChannelRisk[Channel],tblChannelRisk[Risk Score]),0)</f>
        <v>1</v>
      </c>
      <c r="M2">
        <f>IFERROR(_xlfn.XLOOKUP(G2,tblScreeningRisk[Screening Result],tblScreeningRisk[Risk Score]),0)</f>
        <v>1</v>
      </c>
      <c r="N2">
        <f>IFERROR(
_xlfn.MAXIFS(
'[1]Transaction Monitoring'!Q:Q,
'[1]Transaction Monitoring'!B:B,
A2
),
1
)</f>
        <v>1</v>
      </c>
      <c r="O2">
        <f>SUM(H2:N2)</f>
        <v>11</v>
      </c>
      <c r="P2" t="str" cm="1">
        <f t="array" ref="P2">_xlfn.IFS(
O2&lt;=12,"Low",
O2&lt;=20,"Medium",
O2&lt;=30,"High",
TRUE,"Very High"
)</f>
        <v>Low</v>
      </c>
      <c r="Q2" t="str" cm="1">
        <f t="array" ref="Q2">_xlfn.IFS(
G2="Reject","EDD",
R2="Potential Match","EDD",
G2="EDD Review","EDD",
AND(S2="Yes",I2&gt;=4),"EDD",
T2="No","EDD",
TRUE,
_xlfn.XLOOKUP(
P2,
tblDueDiligence[Risk Rating],
tblDueDiligence[Due Diligence]
)
)</f>
        <v>SDD</v>
      </c>
      <c r="R2" t="str">
        <f>IFERROR(
_xlfn.XLOOKUP($A2,
tblScreening[Customer ID],
tblScreening[Sanction Match]),
"")</f>
        <v>No Match</v>
      </c>
      <c r="S2" t="str">
        <f>IFERROR(
_xlfn.XLOOKUP($A2,
tblScreening[Customer ID],
tblScreening[PEP]),
"")</f>
        <v>No</v>
      </c>
      <c r="T2" t="str">
        <f>IFERROR(
_xlfn.XLOOKUP($A2,
tblScreening[Customer ID],
tblScreening[Source of Wealth Obtained]),
"")</f>
        <v>Yes</v>
      </c>
      <c r="U2" t="str" cm="1">
        <f t="array" ref="U2">_xlfn.IFS(
G2="Reject","Screening Rejected",
R2="Potential Match","Potential Sanctions Match",
AND(S2="Yes",I2&gt;=4),"PEP in High-Risk Country",
T2="No","Missing Source of Wealth",
G2="EDD Review","EDD Review Required",
TRUE,"None"
)</f>
        <v>None</v>
      </c>
      <c r="V2" t="str" cm="1">
        <f t="array" ref="V2">_xlfn.IFS(
G2="Reject","Reject",
R2="Potential Match","Reject",
G2="EDD Review","Escalate",
AND(S2="Yes",I2&gt;=4),"Escalate",
T2="No","Escalate",
TRUE,
_xlfn.XLOOKUP(
Q2,
tblDecision[Due Diligence],
tblDecision[Decision]
)
)</f>
        <v>Approve</v>
      </c>
    </row>
    <row r="3" spans="1:22" x14ac:dyDescent="0.25">
      <c r="A3" t="s">
        <v>19</v>
      </c>
      <c r="B3" t="str">
        <f>IFERROR(_xlfn.XLOOKUP($A3,tblCustomers[Customer ID],tblCustomers[Customer Type]),"")</f>
        <v>Individual</v>
      </c>
      <c r="C3" t="str">
        <f>IFERROR(_xlfn.XLOOKUP($A3,tblCustomers[Customer ID],tblCustomers[Country]),"")</f>
        <v>Kenya</v>
      </c>
      <c r="D3" t="str">
        <f>IFERROR(_xlfn.XLOOKUP($A3,tblCustomers[Customer ID],tblCustomers[Occupation/Industry]),"")</f>
        <v>Engineer</v>
      </c>
      <c r="E3" t="str">
        <f>IFERROR(_xlfn.XLOOKUP($A3,tblCustomers[Customer ID],tblCustomers[Product Requested]),"")</f>
        <v>Savings</v>
      </c>
      <c r="F3" t="str">
        <f>IFERROR(_xlfn.XLOOKUP($A3,tblCustomers[Customer ID],tblCustomers[Delivery Channel]),"")</f>
        <v>Branch</v>
      </c>
      <c r="G3" t="str">
        <f>IFERROR(_xlfn.XLOOKUP($A3,tblScreening[Customer ID],tblScreening[Screening Result]),"")</f>
        <v>Review</v>
      </c>
      <c r="H3">
        <f>IFERROR(_xlfn.XLOOKUP(B3,tblCustomerType[Customer Type],tblCustomerType[Risk Score]),0)</f>
        <v>2</v>
      </c>
      <c r="I3">
        <f>IFERROR(_xlfn.XLOOKUP(C3,tblCountryRisk[Country],tblCountryRisk[Risk Score]),0)</f>
        <v>2</v>
      </c>
      <c r="J3">
        <f>IFERROR(_xlfn.XLOOKUP(D3,tblOccupationRisk[Occupation],tblOccupationRisk[Risk Score]),0)</f>
        <v>0</v>
      </c>
      <c r="K3">
        <f>IFERROR(_xlfn.XLOOKUP(E3,tblProductRisk[Product],tblProductRisk[Risk Score]),0)</f>
        <v>1</v>
      </c>
      <c r="L3">
        <f>IFERROR(_xlfn.XLOOKUP(F3,tblChannelRisk[Channel],tblChannelRisk[Risk Score]),0)</f>
        <v>1</v>
      </c>
      <c r="M3">
        <f>IFERROR(_xlfn.XLOOKUP(G3,tblScreeningRisk[Screening Result],tblScreeningRisk[Risk Score]),0)</f>
        <v>3</v>
      </c>
      <c r="N3">
        <f>IFERROR(
_xlfn.MAXIFS(
'[1]Transaction Monitoring'!Q:Q,
'[1]Transaction Monitoring'!B:B,
A3
),
1
)</f>
        <v>1</v>
      </c>
      <c r="O3">
        <f t="shared" ref="O3:O66" si="0">SUM(H3:N3)</f>
        <v>10</v>
      </c>
      <c r="P3" t="str" cm="1">
        <f t="array" ref="P3">_xlfn.IFS(
O3&lt;=12,"Low",
O3&lt;=20,"Medium",
O3&lt;=30,"High",
TRUE,"Very High"
)</f>
        <v>Low</v>
      </c>
      <c r="Q3" t="str" cm="1">
        <f t="array" ref="Q3">_xlfn.IFS(
G3="Reject","EDD",
R3="Potential Match","EDD",
G3="EDD Review","EDD",
AND(S3="Yes",I3&gt;=4),"EDD",
T3="No","EDD",
TRUE,
_xlfn.XLOOKUP(
P3,
tblDueDiligence[Risk Rating],
tblDueDiligence[Due Diligence]
)
)</f>
        <v>SDD</v>
      </c>
      <c r="R3" t="str">
        <f>IFERROR(
_xlfn.XLOOKUP($A3,
tblScreening[Customer ID],
tblScreening[Sanction Match]),
"")</f>
        <v>No Match</v>
      </c>
      <c r="S3" t="str">
        <f>IFERROR(
_xlfn.XLOOKUP($A3,
tblScreening[Customer ID],
tblScreening[PEP]),
"")</f>
        <v>Yes</v>
      </c>
      <c r="T3" t="str">
        <f>IFERROR(
_xlfn.XLOOKUP($A3,
tblScreening[Customer ID],
tblScreening[Source of Wealth Obtained]),
"")</f>
        <v>Yes</v>
      </c>
      <c r="U3" t="str" cm="1">
        <f t="array" ref="U3">_xlfn.IFS(
G3="Reject","Screening Rejected",
R3="Potential Match","Potential Sanctions Match",
AND(S3="Yes",I3&gt;=4),"PEP in High-Risk Country",
T3="No","Missing Source of Wealth",
G3="EDD Review","EDD Review Required",
TRUE,"None"
)</f>
        <v>None</v>
      </c>
      <c r="V3" t="str" cm="1">
        <f t="array" ref="V3">_xlfn.IFS(
G3="Reject","Reject",
R3="Potential Match","Reject",
G3="EDD Review","Escalate",
AND(S3="Yes",I3&gt;=4),"Escalate",
T3="No","Escalate",
TRUE,
_xlfn.XLOOKUP(
Q3,
tblDecision[Due Diligence],
tblDecision[Decision]
)
)</f>
        <v>Approve</v>
      </c>
    </row>
    <row r="4" spans="1:22" x14ac:dyDescent="0.25">
      <c r="A4" t="s">
        <v>25</v>
      </c>
      <c r="B4" t="str">
        <f>IFERROR(_xlfn.XLOOKUP($A4,tblCustomers[Customer ID],tblCustomers[Customer Type]),"")</f>
        <v>Individual</v>
      </c>
      <c r="C4" t="str">
        <f>IFERROR(_xlfn.XLOOKUP($A4,tblCustomers[Customer ID],tblCustomers[Country]),"")</f>
        <v>Ghana</v>
      </c>
      <c r="D4" t="str">
        <f>IFERROR(_xlfn.XLOOKUP($A4,tblCustomers[Customer ID],tblCustomers[Occupation/Industry]),"")</f>
        <v>Teacher</v>
      </c>
      <c r="E4" t="str">
        <f>IFERROR(_xlfn.XLOOKUP($A4,tblCustomers[Customer ID],tblCustomers[Product Requested]),"")</f>
        <v>Corporate Account</v>
      </c>
      <c r="F4" t="str">
        <f>IFERROR(_xlfn.XLOOKUP($A4,tblCustomers[Customer ID],tblCustomers[Delivery Channel]),"")</f>
        <v>Online</v>
      </c>
      <c r="G4" t="str">
        <f>IFERROR(_xlfn.XLOOKUP($A4,tblScreening[Customer ID],tblScreening[Screening Result]),"")</f>
        <v>Review</v>
      </c>
      <c r="H4">
        <f>IFERROR(_xlfn.XLOOKUP(B4,tblCustomerType[Customer Type],tblCustomerType[Risk Score]),0)</f>
        <v>2</v>
      </c>
      <c r="I4">
        <f>IFERROR(_xlfn.XLOOKUP(C4,tblCountryRisk[Country],tblCountryRisk[Risk Score]),0)</f>
        <v>2</v>
      </c>
      <c r="J4">
        <f>IFERROR(_xlfn.XLOOKUP(D4,tblOccupationRisk[Occupation],tblOccupationRisk[Risk Score]),0)</f>
        <v>1</v>
      </c>
      <c r="K4">
        <f>IFERROR(_xlfn.XLOOKUP(E4,tblProductRisk[Product],tblProductRisk[Risk Score]),0)</f>
        <v>3</v>
      </c>
      <c r="L4">
        <f>IFERROR(_xlfn.XLOOKUP(F4,tblChannelRisk[Channel],tblChannelRisk[Risk Score]),0)</f>
        <v>3</v>
      </c>
      <c r="M4">
        <f>IFERROR(_xlfn.XLOOKUP(G4,tblScreeningRisk[Screening Result],tblScreeningRisk[Risk Score]),0)</f>
        <v>3</v>
      </c>
      <c r="N4">
        <f>IFERROR(
_xlfn.MAXIFS(
'[1]Transaction Monitoring'!Q:Q,
'[1]Transaction Monitoring'!B:B,
A4
),
1
)</f>
        <v>1</v>
      </c>
      <c r="O4">
        <f t="shared" si="0"/>
        <v>15</v>
      </c>
      <c r="P4" t="str" cm="1">
        <f t="array" ref="P4">_xlfn.IFS(
O4&lt;=12,"Low",
O4&lt;=20,"Medium",
O4&lt;=30,"High",
TRUE,"Very High"
)</f>
        <v>Medium</v>
      </c>
      <c r="Q4" t="str" cm="1">
        <f t="array" ref="Q4">_xlfn.IFS(
G4="Reject","EDD",
R4="Potential Match","EDD",
G4="EDD Review","EDD",
AND(S4="Yes",I4&gt;=4),"EDD",
T4="No","EDD",
TRUE,
_xlfn.XLOOKUP(
P4,
tblDueDiligence[Risk Rating],
tblDueDiligence[Due Diligence]
)
)</f>
        <v>CDD</v>
      </c>
      <c r="R4" t="str">
        <f>IFERROR(
_xlfn.XLOOKUP($A4,
tblScreening[Customer ID],
tblScreening[Sanction Match]),
"")</f>
        <v>No Match</v>
      </c>
      <c r="S4" t="str">
        <f>IFERROR(
_xlfn.XLOOKUP($A4,
tblScreening[Customer ID],
tblScreening[PEP]),
"")</f>
        <v>No</v>
      </c>
      <c r="T4" t="str">
        <f>IFERROR(
_xlfn.XLOOKUP($A4,
tblScreening[Customer ID],
tblScreening[Source of Wealth Obtained]),
"")</f>
        <v>Yes</v>
      </c>
      <c r="U4" t="str" cm="1">
        <f t="array" ref="U4">_xlfn.IFS(
G4="Reject","Screening Rejected",
R4="Potential Match","Potential Sanctions Match",
AND(S4="Yes",I4&gt;=4),"PEP in High-Risk Country",
T4="No","Missing Source of Wealth",
G4="EDD Review","EDD Review Required",
TRUE,"None"
)</f>
        <v>None</v>
      </c>
      <c r="V4" t="str" cm="1">
        <f t="array" ref="V4">_xlfn.IFS(
G4="Reject","Reject",
R4="Potential Match","Reject",
G4="EDD Review","Escalate",
AND(S4="Yes",I4&gt;=4),"Escalate",
T4="No","Escalate",
TRUE,
_xlfn.XLOOKUP(
Q4,
tblDecision[Due Diligence],
tblDecision[Decision]
)
)</f>
        <v>Approve</v>
      </c>
    </row>
    <row r="5" spans="1:22" x14ac:dyDescent="0.25">
      <c r="A5" t="s">
        <v>31</v>
      </c>
      <c r="B5" t="str">
        <f>IFERROR(_xlfn.XLOOKUP($A5,tblCustomers[Customer ID],tblCustomers[Customer Type]),"")</f>
        <v>Individual</v>
      </c>
      <c r="C5" t="str">
        <f>IFERROR(_xlfn.XLOOKUP($A5,tblCustomers[Customer ID],tblCustomers[Country]),"")</f>
        <v>United Kingdom</v>
      </c>
      <c r="D5" t="str">
        <f>IFERROR(_xlfn.XLOOKUP($A5,tblCustomers[Customer ID],tblCustomers[Occupation/Industry]),"")</f>
        <v>Software Engineer</v>
      </c>
      <c r="E5" t="str">
        <f>IFERROR(_xlfn.XLOOKUP($A5,tblCustomers[Customer ID],tblCustomers[Product Requested]),"")</f>
        <v>Investment</v>
      </c>
      <c r="F5" t="str">
        <f>IFERROR(_xlfn.XLOOKUP($A5,tblCustomers[Customer ID],tblCustomers[Delivery Channel]),"")</f>
        <v>Branch</v>
      </c>
      <c r="G5" t="str">
        <f>IFERROR(_xlfn.XLOOKUP($A5,tblScreening[Customer ID],tblScreening[Screening Result]),"")</f>
        <v>Review</v>
      </c>
      <c r="H5">
        <f>IFERROR(_xlfn.XLOOKUP(B5,tblCustomerType[Customer Type],tblCustomerType[Risk Score]),0)</f>
        <v>2</v>
      </c>
      <c r="I5">
        <f>IFERROR(_xlfn.XLOOKUP(C5,tblCountryRisk[Country],tblCountryRisk[Risk Score]),0)</f>
        <v>1</v>
      </c>
      <c r="J5">
        <f>IFERROR(_xlfn.XLOOKUP(D5,tblOccupationRisk[Occupation],tblOccupationRisk[Risk Score]),0)</f>
        <v>1</v>
      </c>
      <c r="K5">
        <f>IFERROR(_xlfn.XLOOKUP(E5,tblProductRisk[Product],tblProductRisk[Risk Score]),0)</f>
        <v>3</v>
      </c>
      <c r="L5">
        <f>IFERROR(_xlfn.XLOOKUP(F5,tblChannelRisk[Channel],tblChannelRisk[Risk Score]),0)</f>
        <v>1</v>
      </c>
      <c r="M5">
        <f>IFERROR(_xlfn.XLOOKUP(G5,tblScreeningRisk[Screening Result],tblScreeningRisk[Risk Score]),0)</f>
        <v>3</v>
      </c>
      <c r="N5">
        <f>IFERROR(
_xlfn.MAXIFS(
'[1]Transaction Monitoring'!Q:Q,
'[1]Transaction Monitoring'!B:B,
A5
),
1
)</f>
        <v>1</v>
      </c>
      <c r="O5">
        <f t="shared" si="0"/>
        <v>12</v>
      </c>
      <c r="P5" t="str" cm="1">
        <f t="array" ref="P5">_xlfn.IFS(
O5&lt;=12,"Low",
O5&lt;=20,"Medium",
O5&lt;=30,"High",
TRUE,"Very High"
)</f>
        <v>Low</v>
      </c>
      <c r="Q5" t="str" cm="1">
        <f t="array" ref="Q5">_xlfn.IFS(
G5="Reject","EDD",
R5="Potential Match","EDD",
G5="EDD Review","EDD",
AND(S5="Yes",I5&gt;=4),"EDD",
T5="No","EDD",
TRUE,
_xlfn.XLOOKUP(
P5,
tblDueDiligence[Risk Rating],
tblDueDiligence[Due Diligence]
)
)</f>
        <v>SDD</v>
      </c>
      <c r="R5" t="str">
        <f>IFERROR(
_xlfn.XLOOKUP($A5,
tblScreening[Customer ID],
tblScreening[Sanction Match]),
"")</f>
        <v>No Match</v>
      </c>
      <c r="S5" t="str">
        <f>IFERROR(
_xlfn.XLOOKUP($A5,
tblScreening[Customer ID],
tblScreening[PEP]),
"")</f>
        <v>No</v>
      </c>
      <c r="T5" t="str">
        <f>IFERROR(
_xlfn.XLOOKUP($A5,
tblScreening[Customer ID],
tblScreening[Source of Wealth Obtained]),
"")</f>
        <v>Yes</v>
      </c>
      <c r="U5" t="str" cm="1">
        <f t="array" ref="U5">_xlfn.IFS(
G5="Reject","Screening Rejected",
R5="Potential Match","Potential Sanctions Match",
AND(S5="Yes",I5&gt;=4),"PEP in High-Risk Country",
T5="No","Missing Source of Wealth",
G5="EDD Review","EDD Review Required",
TRUE,"None"
)</f>
        <v>None</v>
      </c>
      <c r="V5" t="str" cm="1">
        <f t="array" ref="V5">_xlfn.IFS(
G5="Reject","Reject",
R5="Potential Match","Reject",
G5="EDD Review","Escalate",
AND(S5="Yes",I5&gt;=4),"Escalate",
T5="No","Escalate",
TRUE,
_xlfn.XLOOKUP(
Q5,
tblDecision[Due Diligence],
tblDecision[Decision]
)
)</f>
        <v>Approve</v>
      </c>
    </row>
    <row r="6" spans="1:22" x14ac:dyDescent="0.25">
      <c r="A6" t="s">
        <v>34</v>
      </c>
      <c r="B6" t="str">
        <f>IFERROR(_xlfn.XLOOKUP($A6,tblCustomers[Customer ID],tblCustomers[Customer Type]),"")</f>
        <v>Individual</v>
      </c>
      <c r="C6" t="str">
        <f>IFERROR(_xlfn.XLOOKUP($A6,tblCustomers[Customer ID],tblCustomers[Country]),"")</f>
        <v>UAE</v>
      </c>
      <c r="D6" t="str">
        <f>IFERROR(_xlfn.XLOOKUP($A6,tblCustomers[Customer ID],tblCustomers[Occupation/Industry]),"")</f>
        <v>Data Analyst</v>
      </c>
      <c r="E6" t="str">
        <f>IFERROR(_xlfn.XLOOKUP($A6,tblCustomers[Customer ID],tblCustomers[Product Requested]),"")</f>
        <v>Current</v>
      </c>
      <c r="F6" t="str">
        <f>IFERROR(_xlfn.XLOOKUP($A6,tblCustomers[Customer ID],tblCustomers[Delivery Channel]),"")</f>
        <v>Online</v>
      </c>
      <c r="G6" t="str">
        <f>IFERROR(_xlfn.XLOOKUP($A6,tblScreening[Customer ID],tblScreening[Screening Result]),"")</f>
        <v>Clear</v>
      </c>
      <c r="H6">
        <f>IFERROR(_xlfn.XLOOKUP(B6,tblCustomerType[Customer Type],tblCustomerType[Risk Score]),0)</f>
        <v>2</v>
      </c>
      <c r="I6">
        <f>IFERROR(_xlfn.XLOOKUP(C6,tblCountryRisk[Country],tblCountryRisk[Risk Score]),0)</f>
        <v>3</v>
      </c>
      <c r="J6">
        <f>IFERROR(_xlfn.XLOOKUP(D6,tblOccupationRisk[Occupation],tblOccupationRisk[Risk Score]),0)</f>
        <v>1</v>
      </c>
      <c r="K6">
        <f>IFERROR(_xlfn.XLOOKUP(E6,tblProductRisk[Product],tblProductRisk[Risk Score]),0)</f>
        <v>2</v>
      </c>
      <c r="L6">
        <f>IFERROR(_xlfn.XLOOKUP(F6,tblChannelRisk[Channel],tblChannelRisk[Risk Score]),0)</f>
        <v>3</v>
      </c>
      <c r="M6">
        <f>IFERROR(_xlfn.XLOOKUP(G6,tblScreeningRisk[Screening Result],tblScreeningRisk[Risk Score]),0)</f>
        <v>1</v>
      </c>
      <c r="N6">
        <f>IFERROR(
_xlfn.MAXIFS(
'[1]Transaction Monitoring'!Q:Q,
'[1]Transaction Monitoring'!B:B,
A6
),
1
)</f>
        <v>1</v>
      </c>
      <c r="O6">
        <f t="shared" si="0"/>
        <v>13</v>
      </c>
      <c r="P6" t="str" cm="1">
        <f t="array" ref="P6">_xlfn.IFS(
O6&lt;=12,"Low",
O6&lt;=20,"Medium",
O6&lt;=30,"High",
TRUE,"Very High"
)</f>
        <v>Medium</v>
      </c>
      <c r="Q6" t="str" cm="1">
        <f t="array" ref="Q6">_xlfn.IFS(
G6="Reject","EDD",
R6="Potential Match","EDD",
G6="EDD Review","EDD",
AND(S6="Yes",I6&gt;=4),"EDD",
T6="No","EDD",
TRUE,
_xlfn.XLOOKUP(
P6,
tblDueDiligence[Risk Rating],
tblDueDiligence[Due Diligence]
)
)</f>
        <v>CDD</v>
      </c>
      <c r="R6" t="str">
        <f>IFERROR(
_xlfn.XLOOKUP($A6,
tblScreening[Customer ID],
tblScreening[Sanction Match]),
"")</f>
        <v>No Match</v>
      </c>
      <c r="S6" t="str">
        <f>IFERROR(
_xlfn.XLOOKUP($A6,
tblScreening[Customer ID],
tblScreening[PEP]),
"")</f>
        <v>No</v>
      </c>
      <c r="T6" t="str">
        <f>IFERROR(
_xlfn.XLOOKUP($A6,
tblScreening[Customer ID],
tblScreening[Source of Wealth Obtained]),
"")</f>
        <v>Yes</v>
      </c>
      <c r="U6" t="str" cm="1">
        <f t="array" ref="U6">_xlfn.IFS(
G6="Reject","Screening Rejected",
R6="Potential Match","Potential Sanctions Match",
AND(S6="Yes",I6&gt;=4),"PEP in High-Risk Country",
T6="No","Missing Source of Wealth",
G6="EDD Review","EDD Review Required",
TRUE,"None"
)</f>
        <v>None</v>
      </c>
      <c r="V6" t="str" cm="1">
        <f t="array" ref="V6">_xlfn.IFS(
G6="Reject","Reject",
R6="Potential Match","Reject",
G6="EDD Review","Escalate",
AND(S6="Yes",I6&gt;=4),"Escalate",
T6="No","Escalate",
TRUE,
_xlfn.XLOOKUP(
Q6,
tblDecision[Due Diligence],
tblDecision[Decision]
)
)</f>
        <v>Approve</v>
      </c>
    </row>
    <row r="7" spans="1:22" x14ac:dyDescent="0.25">
      <c r="A7" t="s">
        <v>39</v>
      </c>
      <c r="B7" t="str">
        <f>IFERROR(_xlfn.XLOOKUP($A7,tblCustomers[Customer ID],tblCustomers[Customer Type]),"")</f>
        <v>Individual</v>
      </c>
      <c r="C7" t="str">
        <f>IFERROR(_xlfn.XLOOKUP($A7,tblCustomers[Customer ID],tblCustomers[Country]),"")</f>
        <v>United States</v>
      </c>
      <c r="D7" t="str">
        <f>IFERROR(_xlfn.XLOOKUP($A7,tblCustomers[Customer ID],tblCustomers[Occupation/Industry]),"")</f>
        <v>Data Analyst</v>
      </c>
      <c r="E7" t="str">
        <f>IFERROR(_xlfn.XLOOKUP($A7,tblCustomers[Customer ID],tblCustomers[Product Requested]),"")</f>
        <v>Investment</v>
      </c>
      <c r="F7" t="str">
        <f>IFERROR(_xlfn.XLOOKUP($A7,tblCustomers[Customer ID],tblCustomers[Delivery Channel]),"")</f>
        <v>Branch</v>
      </c>
      <c r="G7" t="str">
        <f>IFERROR(_xlfn.XLOOKUP($A7,tblScreening[Customer ID],tblScreening[Screening Result]),"")</f>
        <v>Review</v>
      </c>
      <c r="H7">
        <f>IFERROR(_xlfn.XLOOKUP(B7,tblCustomerType[Customer Type],tblCustomerType[Risk Score]),0)</f>
        <v>2</v>
      </c>
      <c r="I7">
        <f>IFERROR(_xlfn.XLOOKUP(C7,tblCountryRisk[Country],tblCountryRisk[Risk Score]),0)</f>
        <v>1</v>
      </c>
      <c r="J7">
        <f>IFERROR(_xlfn.XLOOKUP(D7,tblOccupationRisk[Occupation],tblOccupationRisk[Risk Score]),0)</f>
        <v>1</v>
      </c>
      <c r="K7">
        <f>IFERROR(_xlfn.XLOOKUP(E7,tblProductRisk[Product],tblProductRisk[Risk Score]),0)</f>
        <v>3</v>
      </c>
      <c r="L7">
        <f>IFERROR(_xlfn.XLOOKUP(F7,tblChannelRisk[Channel],tblChannelRisk[Risk Score]),0)</f>
        <v>1</v>
      </c>
      <c r="M7">
        <f>IFERROR(_xlfn.XLOOKUP(G7,tblScreeningRisk[Screening Result],tblScreeningRisk[Risk Score]),0)</f>
        <v>3</v>
      </c>
      <c r="N7">
        <f>IFERROR(
_xlfn.MAXIFS(
'[1]Transaction Monitoring'!Q:Q,
'[1]Transaction Monitoring'!B:B,
A7
),
1
)</f>
        <v>1</v>
      </c>
      <c r="O7">
        <f t="shared" si="0"/>
        <v>12</v>
      </c>
      <c r="P7" t="str" cm="1">
        <f t="array" ref="P7">_xlfn.IFS(
O7&lt;=12,"Low",
O7&lt;=20,"Medium",
O7&lt;=30,"High",
TRUE,"Very High"
)</f>
        <v>Low</v>
      </c>
      <c r="Q7" t="str" cm="1">
        <f t="array" ref="Q7">_xlfn.IFS(
G7="Reject","EDD",
R7="Potential Match","EDD",
G7="EDD Review","EDD",
AND(S7="Yes",I7&gt;=4),"EDD",
T7="No","EDD",
TRUE,
_xlfn.XLOOKUP(
P7,
tblDueDiligence[Risk Rating],
tblDueDiligence[Due Diligence]
)
)</f>
        <v>SDD</v>
      </c>
      <c r="R7" t="str">
        <f>IFERROR(
_xlfn.XLOOKUP($A7,
tblScreening[Customer ID],
tblScreening[Sanction Match]),
"")</f>
        <v>No Match</v>
      </c>
      <c r="S7" t="str">
        <f>IFERROR(
_xlfn.XLOOKUP($A7,
tblScreening[Customer ID],
tblScreening[PEP]),
"")</f>
        <v>No</v>
      </c>
      <c r="T7" t="str">
        <f>IFERROR(
_xlfn.XLOOKUP($A7,
tblScreening[Customer ID],
tblScreening[Source of Wealth Obtained]),
"")</f>
        <v>Yes</v>
      </c>
      <c r="U7" t="str" cm="1">
        <f t="array" ref="U7">_xlfn.IFS(
G7="Reject","Screening Rejected",
R7="Potential Match","Potential Sanctions Match",
AND(S7="Yes",I7&gt;=4),"PEP in High-Risk Country",
T7="No","Missing Source of Wealth",
G7="EDD Review","EDD Review Required",
TRUE,"None"
)</f>
        <v>None</v>
      </c>
      <c r="V7" t="str" cm="1">
        <f t="array" ref="V7">_xlfn.IFS(
G7="Reject","Reject",
R7="Potential Match","Reject",
G7="EDD Review","Escalate",
AND(S7="Yes",I7&gt;=4),"Escalate",
T7="No","Escalate",
TRUE,
_xlfn.XLOOKUP(
Q7,
tblDecision[Due Diligence],
tblDecision[Decision]
)
)</f>
        <v>Approve</v>
      </c>
    </row>
    <row r="8" spans="1:22" x14ac:dyDescent="0.25">
      <c r="A8" t="s">
        <v>42</v>
      </c>
      <c r="B8" t="str">
        <f>IFERROR(_xlfn.XLOOKUP($A8,tblCustomers[Customer ID],tblCustomers[Customer Type]),"")</f>
        <v>Individual</v>
      </c>
      <c r="C8" t="str">
        <f>IFERROR(_xlfn.XLOOKUP($A8,tblCustomers[Customer ID],tblCustomers[Country]),"")</f>
        <v>UAE</v>
      </c>
      <c r="D8" t="str">
        <f>IFERROR(_xlfn.XLOOKUP($A8,tblCustomers[Customer ID],tblCustomers[Occupation/Industry]),"")</f>
        <v>Student</v>
      </c>
      <c r="E8" t="str">
        <f>IFERROR(_xlfn.XLOOKUP($A8,tblCustomers[Customer ID],tblCustomers[Product Requested]),"")</f>
        <v>Fixed Deposit</v>
      </c>
      <c r="F8" t="str">
        <f>IFERROR(_xlfn.XLOOKUP($A8,tblCustomers[Customer ID],tblCustomers[Delivery Channel]),"")</f>
        <v>Mobile App</v>
      </c>
      <c r="G8" t="str">
        <f>IFERROR(_xlfn.XLOOKUP($A8,tblScreening[Customer ID],tblScreening[Screening Result]),"")</f>
        <v>Review</v>
      </c>
      <c r="H8">
        <f>IFERROR(_xlfn.XLOOKUP(B8,tblCustomerType[Customer Type],tblCustomerType[Risk Score]),0)</f>
        <v>2</v>
      </c>
      <c r="I8">
        <f>IFERROR(_xlfn.XLOOKUP(C8,tblCountryRisk[Country],tblCountryRisk[Risk Score]),0)</f>
        <v>3</v>
      </c>
      <c r="J8">
        <f>IFERROR(_xlfn.XLOOKUP(D8,tblOccupationRisk[Occupation],tblOccupationRisk[Risk Score]),0)</f>
        <v>1</v>
      </c>
      <c r="K8">
        <f>IFERROR(_xlfn.XLOOKUP(E8,tblProductRisk[Product],tblProductRisk[Risk Score]),0)</f>
        <v>2</v>
      </c>
      <c r="L8">
        <f>IFERROR(_xlfn.XLOOKUP(F8,tblChannelRisk[Channel],tblChannelRisk[Risk Score]),0)</f>
        <v>3</v>
      </c>
      <c r="M8">
        <f>IFERROR(_xlfn.XLOOKUP(G8,tblScreeningRisk[Screening Result],tblScreeningRisk[Risk Score]),0)</f>
        <v>3</v>
      </c>
      <c r="N8">
        <f>IFERROR(
_xlfn.MAXIFS(
'[1]Transaction Monitoring'!Q:Q,
'[1]Transaction Monitoring'!B:B,
A8
),
1
)</f>
        <v>1</v>
      </c>
      <c r="O8">
        <f t="shared" si="0"/>
        <v>15</v>
      </c>
      <c r="P8" t="str" cm="1">
        <f t="array" ref="P8">_xlfn.IFS(
O8&lt;=12,"Low",
O8&lt;=20,"Medium",
O8&lt;=30,"High",
TRUE,"Very High"
)</f>
        <v>Medium</v>
      </c>
      <c r="Q8" t="str" cm="1">
        <f t="array" ref="Q8">_xlfn.IFS(
G8="Reject","EDD",
R8="Potential Match","EDD",
G8="EDD Review","EDD",
AND(S8="Yes",I8&gt;=4),"EDD",
T8="No","EDD",
TRUE,
_xlfn.XLOOKUP(
P8,
tblDueDiligence[Risk Rating],
tblDueDiligence[Due Diligence]
)
)</f>
        <v>CDD</v>
      </c>
      <c r="R8" t="str">
        <f>IFERROR(
_xlfn.XLOOKUP($A8,
tblScreening[Customer ID],
tblScreening[Sanction Match]),
"")</f>
        <v>No Match</v>
      </c>
      <c r="S8" t="str">
        <f>IFERROR(
_xlfn.XLOOKUP($A8,
tblScreening[Customer ID],
tblScreening[PEP]),
"")</f>
        <v>Yes</v>
      </c>
      <c r="T8" t="str">
        <f>IFERROR(
_xlfn.XLOOKUP($A8,
tblScreening[Customer ID],
tblScreening[Source of Wealth Obtained]),
"")</f>
        <v>Yes</v>
      </c>
      <c r="U8" t="str" cm="1">
        <f t="array" ref="U8">_xlfn.IFS(
G8="Reject","Screening Rejected",
R8="Potential Match","Potential Sanctions Match",
AND(S8="Yes",I8&gt;=4),"PEP in High-Risk Country",
T8="No","Missing Source of Wealth",
G8="EDD Review","EDD Review Required",
TRUE,"None"
)</f>
        <v>None</v>
      </c>
      <c r="V8" t="str" cm="1">
        <f t="array" ref="V8">_xlfn.IFS(
G8="Reject","Reject",
R8="Potential Match","Reject",
G8="EDD Review","Escalate",
AND(S8="Yes",I8&gt;=4),"Escalate",
T8="No","Escalate",
TRUE,
_xlfn.XLOOKUP(
Q8,
tblDecision[Due Diligence],
tblDecision[Decision]
)
)</f>
        <v>Approve</v>
      </c>
    </row>
    <row r="9" spans="1:22" x14ac:dyDescent="0.25">
      <c r="A9" t="s">
        <v>48</v>
      </c>
      <c r="B9" t="str">
        <f>IFERROR(_xlfn.XLOOKUP($A9,tblCustomers[Customer ID],tblCustomers[Customer Type]),"")</f>
        <v>Individual</v>
      </c>
      <c r="C9" t="str">
        <f>IFERROR(_xlfn.XLOOKUP($A9,tblCustomers[Customer ID],tblCustomers[Country]),"")</f>
        <v>United States</v>
      </c>
      <c r="D9" t="str">
        <f>IFERROR(_xlfn.XLOOKUP($A9,tblCustomers[Customer ID],tblCustomers[Occupation/Industry]),"")</f>
        <v>Teacher</v>
      </c>
      <c r="E9" t="str">
        <f>IFERROR(_xlfn.XLOOKUP($A9,tblCustomers[Customer ID],tblCustomers[Product Requested]),"")</f>
        <v>Fixed Deposit</v>
      </c>
      <c r="F9" t="str">
        <f>IFERROR(_xlfn.XLOOKUP($A9,tblCustomers[Customer ID],tblCustomers[Delivery Channel]),"")</f>
        <v>Mobile App</v>
      </c>
      <c r="G9" t="str">
        <f>IFERROR(_xlfn.XLOOKUP($A9,tblScreening[Customer ID],tblScreening[Screening Result]),"")</f>
        <v>Review</v>
      </c>
      <c r="H9">
        <f>IFERROR(_xlfn.XLOOKUP(B9,tblCustomerType[Customer Type],tblCustomerType[Risk Score]),0)</f>
        <v>2</v>
      </c>
      <c r="I9">
        <f>IFERROR(_xlfn.XLOOKUP(C9,tblCountryRisk[Country],tblCountryRisk[Risk Score]),0)</f>
        <v>1</v>
      </c>
      <c r="J9">
        <f>IFERROR(_xlfn.XLOOKUP(D9,tblOccupationRisk[Occupation],tblOccupationRisk[Risk Score]),0)</f>
        <v>1</v>
      </c>
      <c r="K9">
        <f>IFERROR(_xlfn.XLOOKUP(E9,tblProductRisk[Product],tblProductRisk[Risk Score]),0)</f>
        <v>2</v>
      </c>
      <c r="L9">
        <f>IFERROR(_xlfn.XLOOKUP(F9,tblChannelRisk[Channel],tblChannelRisk[Risk Score]),0)</f>
        <v>3</v>
      </c>
      <c r="M9">
        <f>IFERROR(_xlfn.XLOOKUP(G9,tblScreeningRisk[Screening Result],tblScreeningRisk[Risk Score]),0)</f>
        <v>3</v>
      </c>
      <c r="N9">
        <f>IFERROR(
_xlfn.MAXIFS(
'[1]Transaction Monitoring'!Q:Q,
'[1]Transaction Monitoring'!B:B,
A9
),
1
)</f>
        <v>1</v>
      </c>
      <c r="O9">
        <f t="shared" si="0"/>
        <v>13</v>
      </c>
      <c r="P9" t="str" cm="1">
        <f t="array" ref="P9">_xlfn.IFS(
O9&lt;=12,"Low",
O9&lt;=20,"Medium",
O9&lt;=30,"High",
TRUE,"Very High"
)</f>
        <v>Medium</v>
      </c>
      <c r="Q9" t="str" cm="1">
        <f t="array" ref="Q9">_xlfn.IFS(
G9="Reject","EDD",
R9="Potential Match","EDD",
G9="EDD Review","EDD",
AND(S9="Yes",I9&gt;=4),"EDD",
T9="No","EDD",
TRUE,
_xlfn.XLOOKUP(
P9,
tblDueDiligence[Risk Rating],
tblDueDiligence[Due Diligence]
)
)</f>
        <v>CDD</v>
      </c>
      <c r="R9" t="str">
        <f>IFERROR(
_xlfn.XLOOKUP($A9,
tblScreening[Customer ID],
tblScreening[Sanction Match]),
"")</f>
        <v>No Match</v>
      </c>
      <c r="S9" t="str">
        <f>IFERROR(
_xlfn.XLOOKUP($A9,
tblScreening[Customer ID],
tblScreening[PEP]),
"")</f>
        <v>Yes</v>
      </c>
      <c r="T9" t="str">
        <f>IFERROR(
_xlfn.XLOOKUP($A9,
tblScreening[Customer ID],
tblScreening[Source of Wealth Obtained]),
"")</f>
        <v>Yes</v>
      </c>
      <c r="U9" t="str" cm="1">
        <f t="array" ref="U9">_xlfn.IFS(
G9="Reject","Screening Rejected",
R9="Potential Match","Potential Sanctions Match",
AND(S9="Yes",I9&gt;=4),"PEP in High-Risk Country",
T9="No","Missing Source of Wealth",
G9="EDD Review","EDD Review Required",
TRUE,"None"
)</f>
        <v>None</v>
      </c>
      <c r="V9" t="str" cm="1">
        <f t="array" ref="V9">_xlfn.IFS(
G9="Reject","Reject",
R9="Potential Match","Reject",
G9="EDD Review","Escalate",
AND(S9="Yes",I9&gt;=4),"Escalate",
T9="No","Escalate",
TRUE,
_xlfn.XLOOKUP(
Q9,
tblDecision[Due Diligence],
tblDecision[Decision]
)
)</f>
        <v>Approve</v>
      </c>
    </row>
    <row r="10" spans="1:22" x14ac:dyDescent="0.25">
      <c r="A10" t="s">
        <v>51</v>
      </c>
      <c r="B10" t="str">
        <f>IFERROR(_xlfn.XLOOKUP($A10,tblCustomers[Customer ID],tblCustomers[Customer Type]),"")</f>
        <v>Individual</v>
      </c>
      <c r="C10" t="str">
        <f>IFERROR(_xlfn.XLOOKUP($A10,tblCustomers[Customer ID],tblCustomers[Country]),"")</f>
        <v>United States</v>
      </c>
      <c r="D10" t="str">
        <f>IFERROR(_xlfn.XLOOKUP($A10,tblCustomers[Customer ID],tblCustomers[Occupation/Industry]),"")</f>
        <v>Doctor</v>
      </c>
      <c r="E10" t="str">
        <f>IFERROR(_xlfn.XLOOKUP($A10,tblCustomers[Customer ID],tblCustomers[Product Requested]),"")</f>
        <v>Investment</v>
      </c>
      <c r="F10" t="str">
        <f>IFERROR(_xlfn.XLOOKUP($A10,tblCustomers[Customer ID],tblCustomers[Delivery Channel]),"")</f>
        <v>Relationship Manager</v>
      </c>
      <c r="G10" t="str">
        <f>IFERROR(_xlfn.XLOOKUP($A10,tblScreening[Customer ID],tblScreening[Screening Result]),"")</f>
        <v>Review</v>
      </c>
      <c r="H10">
        <f>IFERROR(_xlfn.XLOOKUP(B10,tblCustomerType[Customer Type],tblCustomerType[Risk Score]),0)</f>
        <v>2</v>
      </c>
      <c r="I10">
        <f>IFERROR(_xlfn.XLOOKUP(C10,tblCountryRisk[Country],tblCountryRisk[Risk Score]),0)</f>
        <v>1</v>
      </c>
      <c r="J10">
        <f>IFERROR(_xlfn.XLOOKUP(D10,tblOccupationRisk[Occupation],tblOccupationRisk[Risk Score]),0)</f>
        <v>0</v>
      </c>
      <c r="K10">
        <f>IFERROR(_xlfn.XLOOKUP(E10,tblProductRisk[Product],tblProductRisk[Risk Score]),0)</f>
        <v>3</v>
      </c>
      <c r="L10">
        <f>IFERROR(_xlfn.XLOOKUP(F10,tblChannelRisk[Channel],tblChannelRisk[Risk Score]),0)</f>
        <v>2</v>
      </c>
      <c r="M10">
        <f>IFERROR(_xlfn.XLOOKUP(G10,tblScreeningRisk[Screening Result],tblScreeningRisk[Risk Score]),0)</f>
        <v>3</v>
      </c>
      <c r="N10">
        <f>IFERROR(
_xlfn.MAXIFS(
'[1]Transaction Monitoring'!Q:Q,
'[1]Transaction Monitoring'!B:B,
A10
),
1
)</f>
        <v>1</v>
      </c>
      <c r="O10">
        <f t="shared" si="0"/>
        <v>12</v>
      </c>
      <c r="P10" t="str" cm="1">
        <f t="array" ref="P10">_xlfn.IFS(
O10&lt;=12,"Low",
O10&lt;=20,"Medium",
O10&lt;=30,"High",
TRUE,"Very High"
)</f>
        <v>Low</v>
      </c>
      <c r="Q10" t="str" cm="1">
        <f t="array" ref="Q10">_xlfn.IFS(
G10="Reject","EDD",
R10="Potential Match","EDD",
G10="EDD Review","EDD",
AND(S10="Yes",I10&gt;=4),"EDD",
T10="No","EDD",
TRUE,
_xlfn.XLOOKUP(
P10,
tblDueDiligence[Risk Rating],
tblDueDiligence[Due Diligence]
)
)</f>
        <v>SDD</v>
      </c>
      <c r="R10" t="str">
        <f>IFERROR(
_xlfn.XLOOKUP($A10,
tblScreening[Customer ID],
tblScreening[Sanction Match]),
"")</f>
        <v>No Match</v>
      </c>
      <c r="S10" t="str">
        <f>IFERROR(
_xlfn.XLOOKUP($A10,
tblScreening[Customer ID],
tblScreening[PEP]),
"")</f>
        <v>No</v>
      </c>
      <c r="T10" t="str">
        <f>IFERROR(
_xlfn.XLOOKUP($A10,
tblScreening[Customer ID],
tblScreening[Source of Wealth Obtained]),
"")</f>
        <v>Yes</v>
      </c>
      <c r="U10" t="str" cm="1">
        <f t="array" ref="U10">_xlfn.IFS(
G10="Reject","Screening Rejected",
R10="Potential Match","Potential Sanctions Match",
AND(S10="Yes",I10&gt;=4),"PEP in High-Risk Country",
T10="No","Missing Source of Wealth",
G10="EDD Review","EDD Review Required",
TRUE,"None"
)</f>
        <v>None</v>
      </c>
      <c r="V10" t="str" cm="1">
        <f t="array" ref="V10">_xlfn.IFS(
G10="Reject","Reject",
R10="Potential Match","Reject",
G10="EDD Review","Escalate",
AND(S10="Yes",I10&gt;=4),"Escalate",
T10="No","Escalate",
TRUE,
_xlfn.XLOOKUP(
Q10,
tblDecision[Due Diligence],
tblDecision[Decision]
)
)</f>
        <v>Approve</v>
      </c>
    </row>
    <row r="11" spans="1:22" x14ac:dyDescent="0.25">
      <c r="A11" t="s">
        <v>56</v>
      </c>
      <c r="B11" t="str">
        <f>IFERROR(_xlfn.XLOOKUP($A11,tblCustomers[Customer ID],tblCustomers[Customer Type]),"")</f>
        <v>Individual</v>
      </c>
      <c r="C11" t="str">
        <f>IFERROR(_xlfn.XLOOKUP($A11,tblCustomers[Customer ID],tblCustomers[Country]),"")</f>
        <v>Canada</v>
      </c>
      <c r="D11" t="str">
        <f>IFERROR(_xlfn.XLOOKUP($A11,tblCustomers[Customer ID],tblCustomers[Occupation/Industry]),"")</f>
        <v>Graphic Designer</v>
      </c>
      <c r="E11" t="str">
        <f>IFERROR(_xlfn.XLOOKUP($A11,tblCustomers[Customer ID],tblCustomers[Product Requested]),"")</f>
        <v>Investment</v>
      </c>
      <c r="F11" t="str">
        <f>IFERROR(_xlfn.XLOOKUP($A11,tblCustomers[Customer ID],tblCustomers[Delivery Channel]),"")</f>
        <v>Mobile App</v>
      </c>
      <c r="G11" t="str">
        <f>IFERROR(_xlfn.XLOOKUP($A11,tblScreening[Customer ID],tblScreening[Screening Result]),"")</f>
        <v>Review</v>
      </c>
      <c r="H11">
        <f>IFERROR(_xlfn.XLOOKUP(B11,tblCustomerType[Customer Type],tblCustomerType[Risk Score]),0)</f>
        <v>2</v>
      </c>
      <c r="I11">
        <f>IFERROR(_xlfn.XLOOKUP(C11,tblCountryRisk[Country],tblCountryRisk[Risk Score]),0)</f>
        <v>1</v>
      </c>
      <c r="J11">
        <f>IFERROR(_xlfn.XLOOKUP(D11,tblOccupationRisk[Occupation],tblOccupationRisk[Risk Score]),0)</f>
        <v>1</v>
      </c>
      <c r="K11">
        <f>IFERROR(_xlfn.XLOOKUP(E11,tblProductRisk[Product],tblProductRisk[Risk Score]),0)</f>
        <v>3</v>
      </c>
      <c r="L11">
        <f>IFERROR(_xlfn.XLOOKUP(F11,tblChannelRisk[Channel],tblChannelRisk[Risk Score]),0)</f>
        <v>3</v>
      </c>
      <c r="M11">
        <f>IFERROR(_xlfn.XLOOKUP(G11,tblScreeningRisk[Screening Result],tblScreeningRisk[Risk Score]),0)</f>
        <v>3</v>
      </c>
      <c r="N11">
        <f>IFERROR(
_xlfn.MAXIFS(
'[1]Transaction Monitoring'!Q:Q,
'[1]Transaction Monitoring'!B:B,
A11
),
1
)</f>
        <v>1</v>
      </c>
      <c r="O11">
        <f t="shared" si="0"/>
        <v>14</v>
      </c>
      <c r="P11" t="str" cm="1">
        <f t="array" ref="P11">_xlfn.IFS(
O11&lt;=12,"Low",
O11&lt;=20,"Medium",
O11&lt;=30,"High",
TRUE,"Very High"
)</f>
        <v>Medium</v>
      </c>
      <c r="Q11" t="str" cm="1">
        <f t="array" ref="Q11">_xlfn.IFS(
G11="Reject","EDD",
R11="Potential Match","EDD",
G11="EDD Review","EDD",
AND(S11="Yes",I11&gt;=4),"EDD",
T11="No","EDD",
TRUE,
_xlfn.XLOOKUP(
P11,
tblDueDiligence[Risk Rating],
tblDueDiligence[Due Diligence]
)
)</f>
        <v>CDD</v>
      </c>
      <c r="R11" t="str">
        <f>IFERROR(
_xlfn.XLOOKUP($A11,
tblScreening[Customer ID],
tblScreening[Sanction Match]),
"")</f>
        <v>No Match</v>
      </c>
      <c r="S11" t="str">
        <f>IFERROR(
_xlfn.XLOOKUP($A11,
tblScreening[Customer ID],
tblScreening[PEP]),
"")</f>
        <v>No</v>
      </c>
      <c r="T11" t="str">
        <f>IFERROR(
_xlfn.XLOOKUP($A11,
tblScreening[Customer ID],
tblScreening[Source of Wealth Obtained]),
"")</f>
        <v>Yes</v>
      </c>
      <c r="U11" t="str" cm="1">
        <f t="array" ref="U11">_xlfn.IFS(
G11="Reject","Screening Rejected",
R11="Potential Match","Potential Sanctions Match",
AND(S11="Yes",I11&gt;=4),"PEP in High-Risk Country",
T11="No","Missing Source of Wealth",
G11="EDD Review","EDD Review Required",
TRUE,"None"
)</f>
        <v>None</v>
      </c>
      <c r="V11" t="str" cm="1">
        <f t="array" ref="V11">_xlfn.IFS(
G11="Reject","Reject",
R11="Potential Match","Reject",
G11="EDD Review","Escalate",
AND(S11="Yes",I11&gt;=4),"Escalate",
T11="No","Escalate",
TRUE,
_xlfn.XLOOKUP(
Q11,
tblDecision[Due Diligence],
tblDecision[Decision]
)
)</f>
        <v>Approve</v>
      </c>
    </row>
    <row r="12" spans="1:22" x14ac:dyDescent="0.25">
      <c r="A12" t="s">
        <v>60</v>
      </c>
      <c r="B12" t="str">
        <f>IFERROR(_xlfn.XLOOKUP($A12,tblCustomers[Customer ID],tblCustomers[Customer Type]),"")</f>
        <v>Individual</v>
      </c>
      <c r="C12" t="str">
        <f>IFERROR(_xlfn.XLOOKUP($A12,tblCustomers[Customer ID],tblCustomers[Country]),"")</f>
        <v>Kenya</v>
      </c>
      <c r="D12" t="str">
        <f>IFERROR(_xlfn.XLOOKUP($A12,tblCustomers[Customer ID],tblCustomers[Occupation/Industry]),"")</f>
        <v>Engineer</v>
      </c>
      <c r="E12" t="str">
        <f>IFERROR(_xlfn.XLOOKUP($A12,tblCustomers[Customer ID],tblCustomers[Product Requested]),"")</f>
        <v>Current</v>
      </c>
      <c r="F12" t="str">
        <f>IFERROR(_xlfn.XLOOKUP($A12,tblCustomers[Customer ID],tblCustomers[Delivery Channel]),"")</f>
        <v>Mobile App</v>
      </c>
      <c r="G12" t="str">
        <f>IFERROR(_xlfn.XLOOKUP($A12,tblScreening[Customer ID],tblScreening[Screening Result]),"")</f>
        <v>Clear</v>
      </c>
      <c r="H12">
        <f>IFERROR(_xlfn.XLOOKUP(B12,tblCustomerType[Customer Type],tblCustomerType[Risk Score]),0)</f>
        <v>2</v>
      </c>
      <c r="I12">
        <f>IFERROR(_xlfn.XLOOKUP(C12,tblCountryRisk[Country],tblCountryRisk[Risk Score]),0)</f>
        <v>2</v>
      </c>
      <c r="J12">
        <f>IFERROR(_xlfn.XLOOKUP(D12,tblOccupationRisk[Occupation],tblOccupationRisk[Risk Score]),0)</f>
        <v>0</v>
      </c>
      <c r="K12">
        <f>IFERROR(_xlfn.XLOOKUP(E12,tblProductRisk[Product],tblProductRisk[Risk Score]),0)</f>
        <v>2</v>
      </c>
      <c r="L12">
        <f>IFERROR(_xlfn.XLOOKUP(F12,tblChannelRisk[Channel],tblChannelRisk[Risk Score]),0)</f>
        <v>3</v>
      </c>
      <c r="M12">
        <f>IFERROR(_xlfn.XLOOKUP(G12,tblScreeningRisk[Screening Result],tblScreeningRisk[Risk Score]),0)</f>
        <v>1</v>
      </c>
      <c r="N12">
        <f>IFERROR(
_xlfn.MAXIFS(
'[1]Transaction Monitoring'!Q:Q,
'[1]Transaction Monitoring'!B:B,
A12
),
1
)</f>
        <v>1</v>
      </c>
      <c r="O12">
        <f t="shared" si="0"/>
        <v>11</v>
      </c>
      <c r="P12" t="str" cm="1">
        <f t="array" ref="P12">_xlfn.IFS(
O12&lt;=12,"Low",
O12&lt;=20,"Medium",
O12&lt;=30,"High",
TRUE,"Very High"
)</f>
        <v>Low</v>
      </c>
      <c r="Q12" t="str" cm="1">
        <f t="array" ref="Q12">_xlfn.IFS(
G12="Reject","EDD",
R12="Potential Match","EDD",
G12="EDD Review","EDD",
AND(S12="Yes",I12&gt;=4),"EDD",
T12="No","EDD",
TRUE,
_xlfn.XLOOKUP(
P12,
tblDueDiligence[Risk Rating],
tblDueDiligence[Due Diligence]
)
)</f>
        <v>SDD</v>
      </c>
      <c r="R12" t="str">
        <f>IFERROR(
_xlfn.XLOOKUP($A12,
tblScreening[Customer ID],
tblScreening[Sanction Match]),
"")</f>
        <v>No Match</v>
      </c>
      <c r="S12" t="str">
        <f>IFERROR(
_xlfn.XLOOKUP($A12,
tblScreening[Customer ID],
tblScreening[PEP]),
"")</f>
        <v>No</v>
      </c>
      <c r="T12" t="str">
        <f>IFERROR(
_xlfn.XLOOKUP($A12,
tblScreening[Customer ID],
tblScreening[Source of Wealth Obtained]),
"")</f>
        <v>Yes</v>
      </c>
      <c r="U12" t="str" cm="1">
        <f t="array" ref="U12">_xlfn.IFS(
G12="Reject","Screening Rejected",
R12="Potential Match","Potential Sanctions Match",
AND(S12="Yes",I12&gt;=4),"PEP in High-Risk Country",
T12="No","Missing Source of Wealth",
G12="EDD Review","EDD Review Required",
TRUE,"None"
)</f>
        <v>None</v>
      </c>
      <c r="V12" t="str" cm="1">
        <f t="array" ref="V12">_xlfn.IFS(
G12="Reject","Reject",
R12="Potential Match","Reject",
G12="EDD Review","Escalate",
AND(S12="Yes",I12&gt;=4),"Escalate",
T12="No","Escalate",
TRUE,
_xlfn.XLOOKUP(
Q12,
tblDecision[Due Diligence],
tblDecision[Decision]
)
)</f>
        <v>Approve</v>
      </c>
    </row>
    <row r="13" spans="1:22" x14ac:dyDescent="0.25">
      <c r="A13" t="s">
        <v>62</v>
      </c>
      <c r="B13" t="str">
        <f>IFERROR(_xlfn.XLOOKUP($A13,tblCustomers[Customer ID],tblCustomers[Customer Type]),"")</f>
        <v>Individual</v>
      </c>
      <c r="C13" t="str">
        <f>IFERROR(_xlfn.XLOOKUP($A13,tblCustomers[Customer ID],tblCustomers[Country]),"")</f>
        <v>Ghana</v>
      </c>
      <c r="D13" t="str">
        <f>IFERROR(_xlfn.XLOOKUP($A13,tblCustomers[Customer ID],tblCustomers[Occupation/Industry]),"")</f>
        <v>Lawyer</v>
      </c>
      <c r="E13" t="str">
        <f>IFERROR(_xlfn.XLOOKUP($A13,tblCustomers[Customer ID],tblCustomers[Product Requested]),"")</f>
        <v>Investment</v>
      </c>
      <c r="F13" t="str">
        <f>IFERROR(_xlfn.XLOOKUP($A13,tblCustomers[Customer ID],tblCustomers[Delivery Channel]),"")</f>
        <v>Online</v>
      </c>
      <c r="G13" t="str">
        <f>IFERROR(_xlfn.XLOOKUP($A13,tblScreening[Customer ID],tblScreening[Screening Result]),"")</f>
        <v>Clear</v>
      </c>
      <c r="H13">
        <f>IFERROR(_xlfn.XLOOKUP(B13,tblCustomerType[Customer Type],tblCustomerType[Risk Score]),0)</f>
        <v>2</v>
      </c>
      <c r="I13">
        <f>IFERROR(_xlfn.XLOOKUP(C13,tblCountryRisk[Country],tblCountryRisk[Risk Score]),0)</f>
        <v>2</v>
      </c>
      <c r="J13">
        <f>IFERROR(_xlfn.XLOOKUP(D13,tblOccupationRisk[Occupation],tblOccupationRisk[Risk Score]),0)</f>
        <v>2</v>
      </c>
      <c r="K13">
        <f>IFERROR(_xlfn.XLOOKUP(E13,tblProductRisk[Product],tblProductRisk[Risk Score]),0)</f>
        <v>3</v>
      </c>
      <c r="L13">
        <f>IFERROR(_xlfn.XLOOKUP(F13,tblChannelRisk[Channel],tblChannelRisk[Risk Score]),0)</f>
        <v>3</v>
      </c>
      <c r="M13">
        <f>IFERROR(_xlfn.XLOOKUP(G13,tblScreeningRisk[Screening Result],tblScreeningRisk[Risk Score]),0)</f>
        <v>1</v>
      </c>
      <c r="N13">
        <f>IFERROR(
_xlfn.MAXIFS(
'[1]Transaction Monitoring'!Q:Q,
'[1]Transaction Monitoring'!B:B,
A13
),
1
)</f>
        <v>1</v>
      </c>
      <c r="O13">
        <f t="shared" si="0"/>
        <v>14</v>
      </c>
      <c r="P13" t="str" cm="1">
        <f t="array" ref="P13">_xlfn.IFS(
O13&lt;=12,"Low",
O13&lt;=20,"Medium",
O13&lt;=30,"High",
TRUE,"Very High"
)</f>
        <v>Medium</v>
      </c>
      <c r="Q13" t="str" cm="1">
        <f t="array" ref="Q13">_xlfn.IFS(
G13="Reject","EDD",
R13="Potential Match","EDD",
G13="EDD Review","EDD",
AND(S13="Yes",I13&gt;=4),"EDD",
T13="No","EDD",
TRUE,
_xlfn.XLOOKUP(
P13,
tblDueDiligence[Risk Rating],
tblDueDiligence[Due Diligence]
)
)</f>
        <v>CDD</v>
      </c>
      <c r="R13" t="str">
        <f>IFERROR(
_xlfn.XLOOKUP($A13,
tblScreening[Customer ID],
tblScreening[Sanction Match]),
"")</f>
        <v>No Match</v>
      </c>
      <c r="S13" t="str">
        <f>IFERROR(
_xlfn.XLOOKUP($A13,
tblScreening[Customer ID],
tblScreening[PEP]),
"")</f>
        <v>No</v>
      </c>
      <c r="T13" t="str">
        <f>IFERROR(
_xlfn.XLOOKUP($A13,
tblScreening[Customer ID],
tblScreening[Source of Wealth Obtained]),
"")</f>
        <v>Yes</v>
      </c>
      <c r="U13" t="str" cm="1">
        <f t="array" ref="U13">_xlfn.IFS(
G13="Reject","Screening Rejected",
R13="Potential Match","Potential Sanctions Match",
AND(S13="Yes",I13&gt;=4),"PEP in High-Risk Country",
T13="No","Missing Source of Wealth",
G13="EDD Review","EDD Review Required",
TRUE,"None"
)</f>
        <v>None</v>
      </c>
      <c r="V13" t="str" cm="1">
        <f t="array" ref="V13">_xlfn.IFS(
G13="Reject","Reject",
R13="Potential Match","Reject",
G13="EDD Review","Escalate",
AND(S13="Yes",I13&gt;=4),"Escalate",
T13="No","Escalate",
TRUE,
_xlfn.XLOOKUP(
Q13,
tblDecision[Due Diligence],
tblDecision[Decision]
)
)</f>
        <v>Approve</v>
      </c>
    </row>
    <row r="14" spans="1:22" x14ac:dyDescent="0.25">
      <c r="A14" t="s">
        <v>65</v>
      </c>
      <c r="B14" t="str">
        <f>IFERROR(_xlfn.XLOOKUP($A14,tblCustomers[Customer ID],tblCustomers[Customer Type]),"")</f>
        <v>Individual</v>
      </c>
      <c r="C14" t="str">
        <f>IFERROR(_xlfn.XLOOKUP($A14,tblCustomers[Customer ID],tblCustomers[Country]),"")</f>
        <v>UAE</v>
      </c>
      <c r="D14" t="str">
        <f>IFERROR(_xlfn.XLOOKUP($A14,tblCustomers[Customer ID],tblCustomers[Occupation/Industry]),"")</f>
        <v>Graphic Designer</v>
      </c>
      <c r="E14" t="str">
        <f>IFERROR(_xlfn.XLOOKUP($A14,tblCustomers[Customer ID],tblCustomers[Product Requested]),"")</f>
        <v>Savings</v>
      </c>
      <c r="F14" t="str">
        <f>IFERROR(_xlfn.XLOOKUP($A14,tblCustomers[Customer ID],tblCustomers[Delivery Channel]),"")</f>
        <v>Branch</v>
      </c>
      <c r="G14" t="str">
        <f>IFERROR(_xlfn.XLOOKUP($A14,tblScreening[Customer ID],tblScreening[Screening Result]),"")</f>
        <v>Clear</v>
      </c>
      <c r="H14">
        <f>IFERROR(_xlfn.XLOOKUP(B14,tblCustomerType[Customer Type],tblCustomerType[Risk Score]),0)</f>
        <v>2</v>
      </c>
      <c r="I14">
        <f>IFERROR(_xlfn.XLOOKUP(C14,tblCountryRisk[Country],tblCountryRisk[Risk Score]),0)</f>
        <v>3</v>
      </c>
      <c r="J14">
        <f>IFERROR(_xlfn.XLOOKUP(D14,tblOccupationRisk[Occupation],tblOccupationRisk[Risk Score]),0)</f>
        <v>1</v>
      </c>
      <c r="K14">
        <f>IFERROR(_xlfn.XLOOKUP(E14,tblProductRisk[Product],tblProductRisk[Risk Score]),0)</f>
        <v>1</v>
      </c>
      <c r="L14">
        <f>IFERROR(_xlfn.XLOOKUP(F14,tblChannelRisk[Channel],tblChannelRisk[Risk Score]),0)</f>
        <v>1</v>
      </c>
      <c r="M14">
        <f>IFERROR(_xlfn.XLOOKUP(G14,tblScreeningRisk[Screening Result],tblScreeningRisk[Risk Score]),0)</f>
        <v>1</v>
      </c>
      <c r="N14">
        <f>IFERROR(
_xlfn.MAXIFS(
'[1]Transaction Monitoring'!Q:Q,
'[1]Transaction Monitoring'!B:B,
A14
),
1
)</f>
        <v>1</v>
      </c>
      <c r="O14">
        <f t="shared" si="0"/>
        <v>10</v>
      </c>
      <c r="P14" t="str" cm="1">
        <f t="array" ref="P14">_xlfn.IFS(
O14&lt;=12,"Low",
O14&lt;=20,"Medium",
O14&lt;=30,"High",
TRUE,"Very High"
)</f>
        <v>Low</v>
      </c>
      <c r="Q14" t="str" cm="1">
        <f t="array" ref="Q14">_xlfn.IFS(
G14="Reject","EDD",
R14="Potential Match","EDD",
G14="EDD Review","EDD",
AND(S14="Yes",I14&gt;=4),"EDD",
T14="No","EDD",
TRUE,
_xlfn.XLOOKUP(
P14,
tblDueDiligence[Risk Rating],
tblDueDiligence[Due Diligence]
)
)</f>
        <v>SDD</v>
      </c>
      <c r="R14" t="str">
        <f>IFERROR(
_xlfn.XLOOKUP($A14,
tblScreening[Customer ID],
tblScreening[Sanction Match]),
"")</f>
        <v>No Match</v>
      </c>
      <c r="S14" t="str">
        <f>IFERROR(
_xlfn.XLOOKUP($A14,
tblScreening[Customer ID],
tblScreening[PEP]),
"")</f>
        <v>No</v>
      </c>
      <c r="T14" t="str">
        <f>IFERROR(
_xlfn.XLOOKUP($A14,
tblScreening[Customer ID],
tblScreening[Source of Wealth Obtained]),
"")</f>
        <v>Yes</v>
      </c>
      <c r="U14" t="str" cm="1">
        <f t="array" ref="U14">_xlfn.IFS(
G14="Reject","Screening Rejected",
R14="Potential Match","Potential Sanctions Match",
AND(S14="Yes",I14&gt;=4),"PEP in High-Risk Country",
T14="No","Missing Source of Wealth",
G14="EDD Review","EDD Review Required",
TRUE,"None"
)</f>
        <v>None</v>
      </c>
      <c r="V14" t="str" cm="1">
        <f t="array" ref="V14">_xlfn.IFS(
G14="Reject","Reject",
R14="Potential Match","Reject",
G14="EDD Review","Escalate",
AND(S14="Yes",I14&gt;=4),"Escalate",
T14="No","Escalate",
TRUE,
_xlfn.XLOOKUP(
Q14,
tblDecision[Due Diligence],
tblDecision[Decision]
)
)</f>
        <v>Approve</v>
      </c>
    </row>
    <row r="15" spans="1:22" x14ac:dyDescent="0.25">
      <c r="A15" t="s">
        <v>67</v>
      </c>
      <c r="B15" t="str">
        <f>IFERROR(_xlfn.XLOOKUP($A15,tblCustomers[Customer ID],tblCustomers[Customer Type]),"")</f>
        <v>Individual</v>
      </c>
      <c r="C15" t="str">
        <f>IFERROR(_xlfn.XLOOKUP($A15,tblCustomers[Customer ID],tblCustomers[Country]),"")</f>
        <v>Kenya</v>
      </c>
      <c r="D15" t="str">
        <f>IFERROR(_xlfn.XLOOKUP($A15,tblCustomers[Customer ID],tblCustomers[Occupation/Industry]),"")</f>
        <v>Journalist</v>
      </c>
      <c r="E15" t="str">
        <f>IFERROR(_xlfn.XLOOKUP($A15,tblCustomers[Customer ID],tblCustomers[Product Requested]),"")</f>
        <v>Savings</v>
      </c>
      <c r="F15" t="str">
        <f>IFERROR(_xlfn.XLOOKUP($A15,tblCustomers[Customer ID],tblCustomers[Delivery Channel]),"")</f>
        <v>Branch</v>
      </c>
      <c r="G15" t="str">
        <f>IFERROR(_xlfn.XLOOKUP($A15,tblScreening[Customer ID],tblScreening[Screening Result]),"")</f>
        <v>Review</v>
      </c>
      <c r="H15">
        <f>IFERROR(_xlfn.XLOOKUP(B15,tblCustomerType[Customer Type],tblCustomerType[Risk Score]),0)</f>
        <v>2</v>
      </c>
      <c r="I15">
        <f>IFERROR(_xlfn.XLOOKUP(C15,tblCountryRisk[Country],tblCountryRisk[Risk Score]),0)</f>
        <v>2</v>
      </c>
      <c r="J15">
        <f>IFERROR(_xlfn.XLOOKUP(D15,tblOccupationRisk[Occupation],tblOccupationRisk[Risk Score]),0)</f>
        <v>2</v>
      </c>
      <c r="K15">
        <f>IFERROR(_xlfn.XLOOKUP(E15,tblProductRisk[Product],tblProductRisk[Risk Score]),0)</f>
        <v>1</v>
      </c>
      <c r="L15">
        <f>IFERROR(_xlfn.XLOOKUP(F15,tblChannelRisk[Channel],tblChannelRisk[Risk Score]),0)</f>
        <v>1</v>
      </c>
      <c r="M15">
        <f>IFERROR(_xlfn.XLOOKUP(G15,tblScreeningRisk[Screening Result],tblScreeningRisk[Risk Score]),0)</f>
        <v>3</v>
      </c>
      <c r="N15">
        <f>IFERROR(
_xlfn.MAXIFS(
'[1]Transaction Monitoring'!Q:Q,
'[1]Transaction Monitoring'!B:B,
A15
),
1
)</f>
        <v>1</v>
      </c>
      <c r="O15">
        <f t="shared" si="0"/>
        <v>12</v>
      </c>
      <c r="P15" t="str" cm="1">
        <f t="array" ref="P15">_xlfn.IFS(
O15&lt;=12,"Low",
O15&lt;=20,"Medium",
O15&lt;=30,"High",
TRUE,"Very High"
)</f>
        <v>Low</v>
      </c>
      <c r="Q15" t="str" cm="1">
        <f t="array" ref="Q15">_xlfn.IFS(
G15="Reject","EDD",
R15="Potential Match","EDD",
G15="EDD Review","EDD",
AND(S15="Yes",I15&gt;=4),"EDD",
T15="No","EDD",
TRUE,
_xlfn.XLOOKUP(
P15,
tblDueDiligence[Risk Rating],
tblDueDiligence[Due Diligence]
)
)</f>
        <v>SDD</v>
      </c>
      <c r="R15" t="str">
        <f>IFERROR(
_xlfn.XLOOKUP($A15,
tblScreening[Customer ID],
tblScreening[Sanction Match]),
"")</f>
        <v>No Match</v>
      </c>
      <c r="S15" t="str">
        <f>IFERROR(
_xlfn.XLOOKUP($A15,
tblScreening[Customer ID],
tblScreening[PEP]),
"")</f>
        <v>Yes</v>
      </c>
      <c r="T15" t="str">
        <f>IFERROR(
_xlfn.XLOOKUP($A15,
tblScreening[Customer ID],
tblScreening[Source of Wealth Obtained]),
"")</f>
        <v>Yes</v>
      </c>
      <c r="U15" t="str" cm="1">
        <f t="array" ref="U15">_xlfn.IFS(
G15="Reject","Screening Rejected",
R15="Potential Match","Potential Sanctions Match",
AND(S15="Yes",I15&gt;=4),"PEP in High-Risk Country",
T15="No","Missing Source of Wealth",
G15="EDD Review","EDD Review Required",
TRUE,"None"
)</f>
        <v>None</v>
      </c>
      <c r="V15" t="str" cm="1">
        <f t="array" ref="V15">_xlfn.IFS(
G15="Reject","Reject",
R15="Potential Match","Reject",
G15="EDD Review","Escalate",
AND(S15="Yes",I15&gt;=4),"Escalate",
T15="No","Escalate",
TRUE,
_xlfn.XLOOKUP(
Q15,
tblDecision[Due Diligence],
tblDecision[Decision]
)
)</f>
        <v>Approve</v>
      </c>
    </row>
    <row r="16" spans="1:22" x14ac:dyDescent="0.25">
      <c r="A16" t="s">
        <v>70</v>
      </c>
      <c r="B16" t="str">
        <f>IFERROR(_xlfn.XLOOKUP($A16,tblCustomers[Customer ID],tblCustomers[Customer Type]),"")</f>
        <v>Individual</v>
      </c>
      <c r="C16" t="str">
        <f>IFERROR(_xlfn.XLOOKUP($A16,tblCustomers[Customer ID],tblCustomers[Country]),"")</f>
        <v>South Africa</v>
      </c>
      <c r="D16" t="str">
        <f>IFERROR(_xlfn.XLOOKUP($A16,tblCustomers[Customer ID],tblCustomers[Occupation/Industry]),"")</f>
        <v>Accountant</v>
      </c>
      <c r="E16" t="str">
        <f>IFERROR(_xlfn.XLOOKUP($A16,tblCustomers[Customer ID],tblCustomers[Product Requested]),"")</f>
        <v>Investment</v>
      </c>
      <c r="F16" t="str">
        <f>IFERROR(_xlfn.XLOOKUP($A16,tblCustomers[Customer ID],tblCustomers[Delivery Channel]),"")</f>
        <v>Online</v>
      </c>
      <c r="G16" t="str">
        <f>IFERROR(_xlfn.XLOOKUP($A16,tblScreening[Customer ID],tblScreening[Screening Result]),"")</f>
        <v>Review</v>
      </c>
      <c r="H16">
        <f>IFERROR(_xlfn.XLOOKUP(B16,tblCustomerType[Customer Type],tblCustomerType[Risk Score]),0)</f>
        <v>2</v>
      </c>
      <c r="I16">
        <f>IFERROR(_xlfn.XLOOKUP(C16,tblCountryRisk[Country],tblCountryRisk[Risk Score]),0)</f>
        <v>2</v>
      </c>
      <c r="J16">
        <f>IFERROR(_xlfn.XLOOKUP(D16,tblOccupationRisk[Occupation],tblOccupationRisk[Risk Score]),0)</f>
        <v>1</v>
      </c>
      <c r="K16">
        <f>IFERROR(_xlfn.XLOOKUP(E16,tblProductRisk[Product],tblProductRisk[Risk Score]),0)</f>
        <v>3</v>
      </c>
      <c r="L16">
        <f>IFERROR(_xlfn.XLOOKUP(F16,tblChannelRisk[Channel],tblChannelRisk[Risk Score]),0)</f>
        <v>3</v>
      </c>
      <c r="M16">
        <f>IFERROR(_xlfn.XLOOKUP(G16,tblScreeningRisk[Screening Result],tblScreeningRisk[Risk Score]),0)</f>
        <v>3</v>
      </c>
      <c r="N16">
        <f>IFERROR(
_xlfn.MAXIFS(
'[1]Transaction Monitoring'!Q:Q,
'[1]Transaction Monitoring'!B:B,
A16
),
1
)</f>
        <v>1</v>
      </c>
      <c r="O16">
        <f t="shared" si="0"/>
        <v>15</v>
      </c>
      <c r="P16" t="str" cm="1">
        <f t="array" ref="P16">_xlfn.IFS(
O16&lt;=12,"Low",
O16&lt;=20,"Medium",
O16&lt;=30,"High",
TRUE,"Very High"
)</f>
        <v>Medium</v>
      </c>
      <c r="Q16" t="str" cm="1">
        <f t="array" ref="Q16">_xlfn.IFS(
G16="Reject","EDD",
R16="Potential Match","EDD",
G16="EDD Review","EDD",
AND(S16="Yes",I16&gt;=4),"EDD",
T16="No","EDD",
TRUE,
_xlfn.XLOOKUP(
P16,
tblDueDiligence[Risk Rating],
tblDueDiligence[Due Diligence]
)
)</f>
        <v>CDD</v>
      </c>
      <c r="R16" t="str">
        <f>IFERROR(
_xlfn.XLOOKUP($A16,
tblScreening[Customer ID],
tblScreening[Sanction Match]),
"")</f>
        <v>No Match</v>
      </c>
      <c r="S16" t="str">
        <f>IFERROR(
_xlfn.XLOOKUP($A16,
tblScreening[Customer ID],
tblScreening[PEP]),
"")</f>
        <v>No</v>
      </c>
      <c r="T16" t="str">
        <f>IFERROR(
_xlfn.XLOOKUP($A16,
tblScreening[Customer ID],
tblScreening[Source of Wealth Obtained]),
"")</f>
        <v>Yes</v>
      </c>
      <c r="U16" t="str" cm="1">
        <f t="array" ref="U16">_xlfn.IFS(
G16="Reject","Screening Rejected",
R16="Potential Match","Potential Sanctions Match",
AND(S16="Yes",I16&gt;=4),"PEP in High-Risk Country",
T16="No","Missing Source of Wealth",
G16="EDD Review","EDD Review Required",
TRUE,"None"
)</f>
        <v>None</v>
      </c>
      <c r="V16" t="str" cm="1">
        <f t="array" ref="V16">_xlfn.IFS(
G16="Reject","Reject",
R16="Potential Match","Reject",
G16="EDD Review","Escalate",
AND(S16="Yes",I16&gt;=4),"Escalate",
T16="No","Escalate",
TRUE,
_xlfn.XLOOKUP(
Q16,
tblDecision[Due Diligence],
tblDecision[Decision]
)
)</f>
        <v>Approve</v>
      </c>
    </row>
    <row r="17" spans="1:22" x14ac:dyDescent="0.25">
      <c r="A17" t="s">
        <v>73</v>
      </c>
      <c r="B17" t="str">
        <f>IFERROR(_xlfn.XLOOKUP($A17,tblCustomers[Customer ID],tblCustomers[Customer Type]),"")</f>
        <v>Individual</v>
      </c>
      <c r="C17" t="str">
        <f>IFERROR(_xlfn.XLOOKUP($A17,tblCustomers[Customer ID],tblCustomers[Country]),"")</f>
        <v>Ghana</v>
      </c>
      <c r="D17" t="str">
        <f>IFERROR(_xlfn.XLOOKUP($A17,tblCustomers[Customer ID],tblCustomers[Occupation/Industry]),"")</f>
        <v>Lawyer</v>
      </c>
      <c r="E17" t="str">
        <f>IFERROR(_xlfn.XLOOKUP($A17,tblCustomers[Customer ID],tblCustomers[Product Requested]),"")</f>
        <v>Trade Finance</v>
      </c>
      <c r="F17" t="str">
        <f>IFERROR(_xlfn.XLOOKUP($A17,tblCustomers[Customer ID],tblCustomers[Delivery Channel]),"")</f>
        <v>Relationship Manager</v>
      </c>
      <c r="G17" t="str">
        <f>IFERROR(_xlfn.XLOOKUP($A17,tblScreening[Customer ID],tblScreening[Screening Result]),"")</f>
        <v>Clear</v>
      </c>
      <c r="H17">
        <f>IFERROR(_xlfn.XLOOKUP(B17,tblCustomerType[Customer Type],tblCustomerType[Risk Score]),0)</f>
        <v>2</v>
      </c>
      <c r="I17">
        <f>IFERROR(_xlfn.XLOOKUP(C17,tblCountryRisk[Country],tblCountryRisk[Risk Score]),0)</f>
        <v>2</v>
      </c>
      <c r="J17">
        <f>IFERROR(_xlfn.XLOOKUP(D17,tblOccupationRisk[Occupation],tblOccupationRisk[Risk Score]),0)</f>
        <v>2</v>
      </c>
      <c r="K17">
        <f>IFERROR(_xlfn.XLOOKUP(E17,tblProductRisk[Product],tblProductRisk[Risk Score]),0)</f>
        <v>4</v>
      </c>
      <c r="L17">
        <f>IFERROR(_xlfn.XLOOKUP(F17,tblChannelRisk[Channel],tblChannelRisk[Risk Score]),0)</f>
        <v>2</v>
      </c>
      <c r="M17">
        <f>IFERROR(_xlfn.XLOOKUP(G17,tblScreeningRisk[Screening Result],tblScreeningRisk[Risk Score]),0)</f>
        <v>1</v>
      </c>
      <c r="N17">
        <f>IFERROR(
_xlfn.MAXIFS(
'[1]Transaction Monitoring'!Q:Q,
'[1]Transaction Monitoring'!B:B,
A17
),
1
)</f>
        <v>1</v>
      </c>
      <c r="O17">
        <f t="shared" si="0"/>
        <v>14</v>
      </c>
      <c r="P17" t="str" cm="1">
        <f t="array" ref="P17">_xlfn.IFS(
O17&lt;=12,"Low",
O17&lt;=20,"Medium",
O17&lt;=30,"High",
TRUE,"Very High"
)</f>
        <v>Medium</v>
      </c>
      <c r="Q17" t="str" cm="1">
        <f t="array" ref="Q17">_xlfn.IFS(
G17="Reject","EDD",
R17="Potential Match","EDD",
G17="EDD Review","EDD",
AND(S17="Yes",I17&gt;=4),"EDD",
T17="No","EDD",
TRUE,
_xlfn.XLOOKUP(
P17,
tblDueDiligence[Risk Rating],
tblDueDiligence[Due Diligence]
)
)</f>
        <v>CDD</v>
      </c>
      <c r="R17" t="str">
        <f>IFERROR(
_xlfn.XLOOKUP($A17,
tblScreening[Customer ID],
tblScreening[Sanction Match]),
"")</f>
        <v>No Match</v>
      </c>
      <c r="S17" t="str">
        <f>IFERROR(
_xlfn.XLOOKUP($A17,
tblScreening[Customer ID],
tblScreening[PEP]),
"")</f>
        <v>No</v>
      </c>
      <c r="T17" t="str">
        <f>IFERROR(
_xlfn.XLOOKUP($A17,
tblScreening[Customer ID],
tblScreening[Source of Wealth Obtained]),
"")</f>
        <v>Yes</v>
      </c>
      <c r="U17" t="str" cm="1">
        <f t="array" ref="U17">_xlfn.IFS(
G17="Reject","Screening Rejected",
R17="Potential Match","Potential Sanctions Match",
AND(S17="Yes",I17&gt;=4),"PEP in High-Risk Country",
T17="No","Missing Source of Wealth",
G17="EDD Review","EDD Review Required",
TRUE,"None"
)</f>
        <v>None</v>
      </c>
      <c r="V17" t="str" cm="1">
        <f t="array" ref="V17">_xlfn.IFS(
G17="Reject","Reject",
R17="Potential Match","Reject",
G17="EDD Review","Escalate",
AND(S17="Yes",I17&gt;=4),"Escalate",
T17="No","Escalate",
TRUE,
_xlfn.XLOOKUP(
Q17,
tblDecision[Due Diligence],
tblDecision[Decision]
)
)</f>
        <v>Approve</v>
      </c>
    </row>
    <row r="18" spans="1:22" x14ac:dyDescent="0.25">
      <c r="A18" t="s">
        <v>76</v>
      </c>
      <c r="B18" t="str">
        <f>IFERROR(_xlfn.XLOOKUP($A18,tblCustomers[Customer ID],tblCustomers[Customer Type]),"")</f>
        <v>Individual</v>
      </c>
      <c r="C18" t="str">
        <f>IFERROR(_xlfn.XLOOKUP($A18,tblCustomers[Customer ID],tblCustomers[Country]),"")</f>
        <v>United States</v>
      </c>
      <c r="D18" t="str">
        <f>IFERROR(_xlfn.XLOOKUP($A18,tblCustomers[Customer ID],tblCustomers[Occupation/Industry]),"")</f>
        <v>Architect</v>
      </c>
      <c r="E18" t="str">
        <f>IFERROR(_xlfn.XLOOKUP($A18,tblCustomers[Customer ID],tblCustomers[Product Requested]),"")</f>
        <v>Trade Finance</v>
      </c>
      <c r="F18" t="str">
        <f>IFERROR(_xlfn.XLOOKUP($A18,tblCustomers[Customer ID],tblCustomers[Delivery Channel]),"")</f>
        <v>Online</v>
      </c>
      <c r="G18" t="str">
        <f>IFERROR(_xlfn.XLOOKUP($A18,tblScreening[Customer ID],tblScreening[Screening Result]),"")</f>
        <v>Clear</v>
      </c>
      <c r="H18">
        <f>IFERROR(_xlfn.XLOOKUP(B18,tblCustomerType[Customer Type],tblCustomerType[Risk Score]),0)</f>
        <v>2</v>
      </c>
      <c r="I18">
        <f>IFERROR(_xlfn.XLOOKUP(C18,tblCountryRisk[Country],tblCountryRisk[Risk Score]),0)</f>
        <v>1</v>
      </c>
      <c r="J18">
        <f>IFERROR(_xlfn.XLOOKUP(D18,tblOccupationRisk[Occupation],tblOccupationRisk[Risk Score]),0)</f>
        <v>1</v>
      </c>
      <c r="K18">
        <f>IFERROR(_xlfn.XLOOKUP(E18,tblProductRisk[Product],tblProductRisk[Risk Score]),0)</f>
        <v>4</v>
      </c>
      <c r="L18">
        <f>IFERROR(_xlfn.XLOOKUP(F18,tblChannelRisk[Channel],tblChannelRisk[Risk Score]),0)</f>
        <v>3</v>
      </c>
      <c r="M18">
        <f>IFERROR(_xlfn.XLOOKUP(G18,tblScreeningRisk[Screening Result],tblScreeningRisk[Risk Score]),0)</f>
        <v>1</v>
      </c>
      <c r="N18">
        <f>IFERROR(
_xlfn.MAXIFS(
'[1]Transaction Monitoring'!Q:Q,
'[1]Transaction Monitoring'!B:B,
A18
),
1
)</f>
        <v>1</v>
      </c>
      <c r="O18">
        <f t="shared" si="0"/>
        <v>13</v>
      </c>
      <c r="P18" t="str" cm="1">
        <f t="array" ref="P18">_xlfn.IFS(
O18&lt;=12,"Low",
O18&lt;=20,"Medium",
O18&lt;=30,"High",
TRUE,"Very High"
)</f>
        <v>Medium</v>
      </c>
      <c r="Q18" t="str" cm="1">
        <f t="array" ref="Q18">_xlfn.IFS(
G18="Reject","EDD",
R18="Potential Match","EDD",
G18="EDD Review","EDD",
AND(S18="Yes",I18&gt;=4),"EDD",
T18="No","EDD",
TRUE,
_xlfn.XLOOKUP(
P18,
tblDueDiligence[Risk Rating],
tblDueDiligence[Due Diligence]
)
)</f>
        <v>CDD</v>
      </c>
      <c r="R18" t="str">
        <f>IFERROR(
_xlfn.XLOOKUP($A18,
tblScreening[Customer ID],
tblScreening[Sanction Match]),
"")</f>
        <v>No Match</v>
      </c>
      <c r="S18" t="str">
        <f>IFERROR(
_xlfn.XLOOKUP($A18,
tblScreening[Customer ID],
tblScreening[PEP]),
"")</f>
        <v>No</v>
      </c>
      <c r="T18" t="str">
        <f>IFERROR(
_xlfn.XLOOKUP($A18,
tblScreening[Customer ID],
tblScreening[Source of Wealth Obtained]),
"")</f>
        <v>Yes</v>
      </c>
      <c r="U18" t="str" cm="1">
        <f t="array" ref="U18">_xlfn.IFS(
G18="Reject","Screening Rejected",
R18="Potential Match","Potential Sanctions Match",
AND(S18="Yes",I18&gt;=4),"PEP in High-Risk Country",
T18="No","Missing Source of Wealth",
G18="EDD Review","EDD Review Required",
TRUE,"None"
)</f>
        <v>None</v>
      </c>
      <c r="V18" t="str" cm="1">
        <f t="array" ref="V18">_xlfn.IFS(
G18="Reject","Reject",
R18="Potential Match","Reject",
G18="EDD Review","Escalate",
AND(S18="Yes",I18&gt;=4),"Escalate",
T18="No","Escalate",
TRUE,
_xlfn.XLOOKUP(
Q18,
tblDecision[Due Diligence],
tblDecision[Decision]
)
)</f>
        <v>Approve</v>
      </c>
    </row>
    <row r="19" spans="1:22" x14ac:dyDescent="0.25">
      <c r="A19" t="s">
        <v>78</v>
      </c>
      <c r="B19" t="str">
        <f>IFERROR(_xlfn.XLOOKUP($A19,tblCustomers[Customer ID],tblCustomers[Customer Type]),"")</f>
        <v>Individual</v>
      </c>
      <c r="C19" t="str">
        <f>IFERROR(_xlfn.XLOOKUP($A19,tblCustomers[Customer ID],tblCustomers[Country]),"")</f>
        <v>Ghana</v>
      </c>
      <c r="D19" t="str">
        <f>IFERROR(_xlfn.XLOOKUP($A19,tblCustomers[Customer ID],tblCustomers[Occupation/Industry]),"")</f>
        <v>Student</v>
      </c>
      <c r="E19" t="str">
        <f>IFERROR(_xlfn.XLOOKUP($A19,tblCustomers[Customer ID],tblCustomers[Product Requested]),"")</f>
        <v>Corporate Account</v>
      </c>
      <c r="F19" t="str">
        <f>IFERROR(_xlfn.XLOOKUP($A19,tblCustomers[Customer ID],tblCustomers[Delivery Channel]),"")</f>
        <v>Relationship Manager</v>
      </c>
      <c r="G19" t="str">
        <f>IFERROR(_xlfn.XLOOKUP($A19,tblScreening[Customer ID],tblScreening[Screening Result]),"")</f>
        <v>Clear</v>
      </c>
      <c r="H19">
        <f>IFERROR(_xlfn.XLOOKUP(B19,tblCustomerType[Customer Type],tblCustomerType[Risk Score]),0)</f>
        <v>2</v>
      </c>
      <c r="I19">
        <f>IFERROR(_xlfn.XLOOKUP(C19,tblCountryRisk[Country],tblCountryRisk[Risk Score]),0)</f>
        <v>2</v>
      </c>
      <c r="J19">
        <f>IFERROR(_xlfn.XLOOKUP(D19,tblOccupationRisk[Occupation],tblOccupationRisk[Risk Score]),0)</f>
        <v>1</v>
      </c>
      <c r="K19">
        <f>IFERROR(_xlfn.XLOOKUP(E19,tblProductRisk[Product],tblProductRisk[Risk Score]),0)</f>
        <v>3</v>
      </c>
      <c r="L19">
        <f>IFERROR(_xlfn.XLOOKUP(F19,tblChannelRisk[Channel],tblChannelRisk[Risk Score]),0)</f>
        <v>2</v>
      </c>
      <c r="M19">
        <f>IFERROR(_xlfn.XLOOKUP(G19,tblScreeningRisk[Screening Result],tblScreeningRisk[Risk Score]),0)</f>
        <v>1</v>
      </c>
      <c r="N19">
        <f>IFERROR(
_xlfn.MAXIFS(
'[1]Transaction Monitoring'!Q:Q,
'[1]Transaction Monitoring'!B:B,
A19
),
1
)</f>
        <v>1</v>
      </c>
      <c r="O19">
        <f t="shared" si="0"/>
        <v>12</v>
      </c>
      <c r="P19" t="str" cm="1">
        <f t="array" ref="P19">_xlfn.IFS(
O19&lt;=12,"Low",
O19&lt;=20,"Medium",
O19&lt;=30,"High",
TRUE,"Very High"
)</f>
        <v>Low</v>
      </c>
      <c r="Q19" t="str" cm="1">
        <f t="array" ref="Q19">_xlfn.IFS(
G19="Reject","EDD",
R19="Potential Match","EDD",
G19="EDD Review","EDD",
AND(S19="Yes",I19&gt;=4),"EDD",
T19="No","EDD",
TRUE,
_xlfn.XLOOKUP(
P19,
tblDueDiligence[Risk Rating],
tblDueDiligence[Due Diligence]
)
)</f>
        <v>EDD</v>
      </c>
      <c r="R19" t="str">
        <f>IFERROR(
_xlfn.XLOOKUP($A19,
tblScreening[Customer ID],
tblScreening[Sanction Match]),
"")</f>
        <v>No Match</v>
      </c>
      <c r="S19" t="str">
        <f>IFERROR(
_xlfn.XLOOKUP($A19,
tblScreening[Customer ID],
tblScreening[PEP]),
"")</f>
        <v>No</v>
      </c>
      <c r="T19" t="str">
        <f>IFERROR(
_xlfn.XLOOKUP($A19,
tblScreening[Customer ID],
tblScreening[Source of Wealth Obtained]),
"")</f>
        <v>No</v>
      </c>
      <c r="U19" t="str" cm="1">
        <f t="array" ref="U19">_xlfn.IFS(
G19="Reject","Screening Rejected",
R19="Potential Match","Potential Sanctions Match",
AND(S19="Yes",I19&gt;=4),"PEP in High-Risk Country",
T19="No","Missing Source of Wealth",
G19="EDD Review","EDD Review Required",
TRUE,"None"
)</f>
        <v>Missing Source of Wealth</v>
      </c>
      <c r="V19" t="str" cm="1">
        <f t="array" ref="V19">_xlfn.IFS(
G19="Reject","Reject",
R19="Potential Match","Reject",
G19="EDD Review","Escalate",
AND(S19="Yes",I19&gt;=4),"Escalate",
T19="No","Escalate",
TRUE,
_xlfn.XLOOKUP(
Q19,
tblDecision[Due Diligence],
tblDecision[Decision]
)
)</f>
        <v>Escalate</v>
      </c>
    </row>
    <row r="20" spans="1:22" x14ac:dyDescent="0.25">
      <c r="A20" t="s">
        <v>80</v>
      </c>
      <c r="B20" t="str">
        <f>IFERROR(_xlfn.XLOOKUP($A20,tblCustomers[Customer ID],tblCustomers[Customer Type]),"")</f>
        <v>Individual</v>
      </c>
      <c r="C20" t="str">
        <f>IFERROR(_xlfn.XLOOKUP($A20,tblCustomers[Customer ID],tblCustomers[Country]),"")</f>
        <v>United Kingdom</v>
      </c>
      <c r="D20" t="str">
        <f>IFERROR(_xlfn.XLOOKUP($A20,tblCustomers[Customer ID],tblCustomers[Occupation/Industry]),"")</f>
        <v>Student</v>
      </c>
      <c r="E20" t="str">
        <f>IFERROR(_xlfn.XLOOKUP($A20,tblCustomers[Customer ID],tblCustomers[Product Requested]),"")</f>
        <v>Current</v>
      </c>
      <c r="F20" t="str">
        <f>IFERROR(_xlfn.XLOOKUP($A20,tblCustomers[Customer ID],tblCustomers[Delivery Channel]),"")</f>
        <v>Online</v>
      </c>
      <c r="G20" t="str">
        <f>IFERROR(_xlfn.XLOOKUP($A20,tblScreening[Customer ID],tblScreening[Screening Result]),"")</f>
        <v>Review</v>
      </c>
      <c r="H20">
        <f>IFERROR(_xlfn.XLOOKUP(B20,tblCustomerType[Customer Type],tblCustomerType[Risk Score]),0)</f>
        <v>2</v>
      </c>
      <c r="I20">
        <f>IFERROR(_xlfn.XLOOKUP(C20,tblCountryRisk[Country],tblCountryRisk[Risk Score]),0)</f>
        <v>1</v>
      </c>
      <c r="J20">
        <f>IFERROR(_xlfn.XLOOKUP(D20,tblOccupationRisk[Occupation],tblOccupationRisk[Risk Score]),0)</f>
        <v>1</v>
      </c>
      <c r="K20">
        <f>IFERROR(_xlfn.XLOOKUP(E20,tblProductRisk[Product],tblProductRisk[Risk Score]),0)</f>
        <v>2</v>
      </c>
      <c r="L20">
        <f>IFERROR(_xlfn.XLOOKUP(F20,tblChannelRisk[Channel],tblChannelRisk[Risk Score]),0)</f>
        <v>3</v>
      </c>
      <c r="M20">
        <f>IFERROR(_xlfn.XLOOKUP(G20,tblScreeningRisk[Screening Result],tblScreeningRisk[Risk Score]),0)</f>
        <v>3</v>
      </c>
      <c r="N20">
        <f>IFERROR(
_xlfn.MAXIFS(
'[1]Transaction Monitoring'!Q:Q,
'[1]Transaction Monitoring'!B:B,
A20
),
1
)</f>
        <v>1</v>
      </c>
      <c r="O20">
        <f t="shared" si="0"/>
        <v>13</v>
      </c>
      <c r="P20" t="str" cm="1">
        <f t="array" ref="P20">_xlfn.IFS(
O20&lt;=12,"Low",
O20&lt;=20,"Medium",
O20&lt;=30,"High",
TRUE,"Very High"
)</f>
        <v>Medium</v>
      </c>
      <c r="Q20" t="str" cm="1">
        <f t="array" ref="Q20">_xlfn.IFS(
G20="Reject","EDD",
R20="Potential Match","EDD",
G20="EDD Review","EDD",
AND(S20="Yes",I20&gt;=4),"EDD",
T20="No","EDD",
TRUE,
_xlfn.XLOOKUP(
P20,
tblDueDiligence[Risk Rating],
tblDueDiligence[Due Diligence]
)
)</f>
        <v>CDD</v>
      </c>
      <c r="R20" t="str">
        <f>IFERROR(
_xlfn.XLOOKUP($A20,
tblScreening[Customer ID],
tblScreening[Sanction Match]),
"")</f>
        <v>No Match</v>
      </c>
      <c r="S20" t="str">
        <f>IFERROR(
_xlfn.XLOOKUP($A20,
tblScreening[Customer ID],
tblScreening[PEP]),
"")</f>
        <v>Yes</v>
      </c>
      <c r="T20" t="str">
        <f>IFERROR(
_xlfn.XLOOKUP($A20,
tblScreening[Customer ID],
tblScreening[Source of Wealth Obtained]),
"")</f>
        <v>Yes</v>
      </c>
      <c r="U20" t="str" cm="1">
        <f t="array" ref="U20">_xlfn.IFS(
G20="Reject","Screening Rejected",
R20="Potential Match","Potential Sanctions Match",
AND(S20="Yes",I20&gt;=4),"PEP in High-Risk Country",
T20="No","Missing Source of Wealth",
G20="EDD Review","EDD Review Required",
TRUE,"None"
)</f>
        <v>None</v>
      </c>
      <c r="V20" t="str" cm="1">
        <f t="array" ref="V20">_xlfn.IFS(
G20="Reject","Reject",
R20="Potential Match","Reject",
G20="EDD Review","Escalate",
AND(S20="Yes",I20&gt;=4),"Escalate",
T20="No","Escalate",
TRUE,
_xlfn.XLOOKUP(
Q20,
tblDecision[Due Diligence],
tblDecision[Decision]
)
)</f>
        <v>Approve</v>
      </c>
    </row>
    <row r="21" spans="1:22" x14ac:dyDescent="0.25">
      <c r="A21" t="s">
        <v>83</v>
      </c>
      <c r="B21" t="str">
        <f>IFERROR(_xlfn.XLOOKUP($A21,tblCustomers[Customer ID],tblCustomers[Customer Type]),"")</f>
        <v>Individual</v>
      </c>
      <c r="C21" t="str">
        <f>IFERROR(_xlfn.XLOOKUP($A21,tblCustomers[Customer ID],tblCustomers[Country]),"")</f>
        <v>Ghana</v>
      </c>
      <c r="D21" t="str">
        <f>IFERROR(_xlfn.XLOOKUP($A21,tblCustomers[Customer ID],tblCustomers[Occupation/Industry]),"")</f>
        <v>Doctor</v>
      </c>
      <c r="E21" t="str">
        <f>IFERROR(_xlfn.XLOOKUP($A21,tblCustomers[Customer ID],tblCustomers[Product Requested]),"")</f>
        <v>Fixed Deposit</v>
      </c>
      <c r="F21" t="str">
        <f>IFERROR(_xlfn.XLOOKUP($A21,tblCustomers[Customer ID],tblCustomers[Delivery Channel]),"")</f>
        <v>Online</v>
      </c>
      <c r="G21" t="str">
        <f>IFERROR(_xlfn.XLOOKUP($A21,tblScreening[Customer ID],tblScreening[Screening Result]),"")</f>
        <v>Review</v>
      </c>
      <c r="H21">
        <f>IFERROR(_xlfn.XLOOKUP(B21,tblCustomerType[Customer Type],tblCustomerType[Risk Score]),0)</f>
        <v>2</v>
      </c>
      <c r="I21">
        <f>IFERROR(_xlfn.XLOOKUP(C21,tblCountryRisk[Country],tblCountryRisk[Risk Score]),0)</f>
        <v>2</v>
      </c>
      <c r="J21">
        <f>IFERROR(_xlfn.XLOOKUP(D21,tblOccupationRisk[Occupation],tblOccupationRisk[Risk Score]),0)</f>
        <v>0</v>
      </c>
      <c r="K21">
        <f>IFERROR(_xlfn.XLOOKUP(E21,tblProductRisk[Product],tblProductRisk[Risk Score]),0)</f>
        <v>2</v>
      </c>
      <c r="L21">
        <f>IFERROR(_xlfn.XLOOKUP(F21,tblChannelRisk[Channel],tblChannelRisk[Risk Score]),0)</f>
        <v>3</v>
      </c>
      <c r="M21">
        <f>IFERROR(_xlfn.XLOOKUP(G21,tblScreeningRisk[Screening Result],tblScreeningRisk[Risk Score]),0)</f>
        <v>3</v>
      </c>
      <c r="N21">
        <f>IFERROR(
_xlfn.MAXIFS(
'[1]Transaction Monitoring'!Q:Q,
'[1]Transaction Monitoring'!B:B,
A21
),
1
)</f>
        <v>1</v>
      </c>
      <c r="O21">
        <f t="shared" si="0"/>
        <v>13</v>
      </c>
      <c r="P21" t="str" cm="1">
        <f t="array" ref="P21">_xlfn.IFS(
O21&lt;=12,"Low",
O21&lt;=20,"Medium",
O21&lt;=30,"High",
TRUE,"Very High"
)</f>
        <v>Medium</v>
      </c>
      <c r="Q21" t="str" cm="1">
        <f t="array" ref="Q21">_xlfn.IFS(
G21="Reject","EDD",
R21="Potential Match","EDD",
G21="EDD Review","EDD",
AND(S21="Yes",I21&gt;=4),"EDD",
T21="No","EDD",
TRUE,
_xlfn.XLOOKUP(
P21,
tblDueDiligence[Risk Rating],
tblDueDiligence[Due Diligence]
)
)</f>
        <v>CDD</v>
      </c>
      <c r="R21" t="str">
        <f>IFERROR(
_xlfn.XLOOKUP($A21,
tblScreening[Customer ID],
tblScreening[Sanction Match]),
"")</f>
        <v>No Match</v>
      </c>
      <c r="S21" t="str">
        <f>IFERROR(
_xlfn.XLOOKUP($A21,
tblScreening[Customer ID],
tblScreening[PEP]),
"")</f>
        <v>Yes</v>
      </c>
      <c r="T21" t="str">
        <f>IFERROR(
_xlfn.XLOOKUP($A21,
tblScreening[Customer ID],
tblScreening[Source of Wealth Obtained]),
"")</f>
        <v>Yes</v>
      </c>
      <c r="U21" t="str" cm="1">
        <f t="array" ref="U21">_xlfn.IFS(
G21="Reject","Screening Rejected",
R21="Potential Match","Potential Sanctions Match",
AND(S21="Yes",I21&gt;=4),"PEP in High-Risk Country",
T21="No","Missing Source of Wealth",
G21="EDD Review","EDD Review Required",
TRUE,"None"
)</f>
        <v>None</v>
      </c>
      <c r="V21" t="str" cm="1">
        <f t="array" ref="V21">_xlfn.IFS(
G21="Reject","Reject",
R21="Potential Match","Reject",
G21="EDD Review","Escalate",
AND(S21="Yes",I21&gt;=4),"Escalate",
T21="No","Escalate",
TRUE,
_xlfn.XLOOKUP(
Q21,
tblDecision[Due Diligence],
tblDecision[Decision]
)
)</f>
        <v>Approve</v>
      </c>
    </row>
    <row r="22" spans="1:22" x14ac:dyDescent="0.25">
      <c r="A22" t="s">
        <v>85</v>
      </c>
      <c r="B22" t="str">
        <f>IFERROR(_xlfn.XLOOKUP($A22,tblCustomers[Customer ID],tblCustomers[Customer Type]),"")</f>
        <v>Individual</v>
      </c>
      <c r="C22" t="str">
        <f>IFERROR(_xlfn.XLOOKUP($A22,tblCustomers[Customer ID],tblCustomers[Country]),"")</f>
        <v>UAE</v>
      </c>
      <c r="D22" t="str">
        <f>IFERROR(_xlfn.XLOOKUP($A22,tblCustomers[Customer ID],tblCustomers[Occupation/Industry]),"")</f>
        <v>Engineer</v>
      </c>
      <c r="E22" t="str">
        <f>IFERROR(_xlfn.XLOOKUP($A22,tblCustomers[Customer ID],tblCustomers[Product Requested]),"")</f>
        <v>Corporate Account</v>
      </c>
      <c r="F22" t="str">
        <f>IFERROR(_xlfn.XLOOKUP($A22,tblCustomers[Customer ID],tblCustomers[Delivery Channel]),"")</f>
        <v>Relationship Manager</v>
      </c>
      <c r="G22" t="str">
        <f>IFERROR(_xlfn.XLOOKUP($A22,tblScreening[Customer ID],tblScreening[Screening Result]),"")</f>
        <v>Clear</v>
      </c>
      <c r="H22">
        <f>IFERROR(_xlfn.XLOOKUP(B22,tblCustomerType[Customer Type],tblCustomerType[Risk Score]),0)</f>
        <v>2</v>
      </c>
      <c r="I22">
        <f>IFERROR(_xlfn.XLOOKUP(C22,tblCountryRisk[Country],tblCountryRisk[Risk Score]),0)</f>
        <v>3</v>
      </c>
      <c r="J22">
        <f>IFERROR(_xlfn.XLOOKUP(D22,tblOccupationRisk[Occupation],tblOccupationRisk[Risk Score]),0)</f>
        <v>0</v>
      </c>
      <c r="K22">
        <f>IFERROR(_xlfn.XLOOKUP(E22,tblProductRisk[Product],tblProductRisk[Risk Score]),0)</f>
        <v>3</v>
      </c>
      <c r="L22">
        <f>IFERROR(_xlfn.XLOOKUP(F22,tblChannelRisk[Channel],tblChannelRisk[Risk Score]),0)</f>
        <v>2</v>
      </c>
      <c r="M22">
        <f>IFERROR(_xlfn.XLOOKUP(G22,tblScreeningRisk[Screening Result],tblScreeningRisk[Risk Score]),0)</f>
        <v>1</v>
      </c>
      <c r="N22">
        <f>IFERROR(
_xlfn.MAXIFS(
'[1]Transaction Monitoring'!Q:Q,
'[1]Transaction Monitoring'!B:B,
A22
),
1
)</f>
        <v>1</v>
      </c>
      <c r="O22">
        <f t="shared" si="0"/>
        <v>12</v>
      </c>
      <c r="P22" t="str" cm="1">
        <f t="array" ref="P22">_xlfn.IFS(
O22&lt;=12,"Low",
O22&lt;=20,"Medium",
O22&lt;=30,"High",
TRUE,"Very High"
)</f>
        <v>Low</v>
      </c>
      <c r="Q22" t="str" cm="1">
        <f t="array" ref="Q22">_xlfn.IFS(
G22="Reject","EDD",
R22="Potential Match","EDD",
G22="EDD Review","EDD",
AND(S22="Yes",I22&gt;=4),"EDD",
T22="No","EDD",
TRUE,
_xlfn.XLOOKUP(
P22,
tblDueDiligence[Risk Rating],
tblDueDiligence[Due Diligence]
)
)</f>
        <v>SDD</v>
      </c>
      <c r="R22" t="str">
        <f>IFERROR(
_xlfn.XLOOKUP($A22,
tblScreening[Customer ID],
tblScreening[Sanction Match]),
"")</f>
        <v>No Match</v>
      </c>
      <c r="S22" t="str">
        <f>IFERROR(
_xlfn.XLOOKUP($A22,
tblScreening[Customer ID],
tblScreening[PEP]),
"")</f>
        <v>No</v>
      </c>
      <c r="T22" t="str">
        <f>IFERROR(
_xlfn.XLOOKUP($A22,
tblScreening[Customer ID],
tblScreening[Source of Wealth Obtained]),
"")</f>
        <v>Yes</v>
      </c>
      <c r="U22" t="str" cm="1">
        <f t="array" ref="U22">_xlfn.IFS(
G22="Reject","Screening Rejected",
R22="Potential Match","Potential Sanctions Match",
AND(S22="Yes",I22&gt;=4),"PEP in High-Risk Country",
T22="No","Missing Source of Wealth",
G22="EDD Review","EDD Review Required",
TRUE,"None"
)</f>
        <v>None</v>
      </c>
      <c r="V22" t="str" cm="1">
        <f t="array" ref="V22">_xlfn.IFS(
G22="Reject","Reject",
R22="Potential Match","Reject",
G22="EDD Review","Escalate",
AND(S22="Yes",I22&gt;=4),"Escalate",
T22="No","Escalate",
TRUE,
_xlfn.XLOOKUP(
Q22,
tblDecision[Due Diligence],
tblDecision[Decision]
)
)</f>
        <v>Approve</v>
      </c>
    </row>
    <row r="23" spans="1:22" x14ac:dyDescent="0.25">
      <c r="A23" t="s">
        <v>87</v>
      </c>
      <c r="B23" t="str">
        <f>IFERROR(_xlfn.XLOOKUP($A23,tblCustomers[Customer ID],tblCustomers[Customer Type]),"")</f>
        <v>Individual</v>
      </c>
      <c r="C23" t="str">
        <f>IFERROR(_xlfn.XLOOKUP($A23,tblCustomers[Customer ID],tblCustomers[Country]),"")</f>
        <v>Nigeria</v>
      </c>
      <c r="D23" t="str">
        <f>IFERROR(_xlfn.XLOOKUP($A23,tblCustomers[Customer ID],tblCustomers[Occupation/Industry]),"")</f>
        <v>Student</v>
      </c>
      <c r="E23" t="str">
        <f>IFERROR(_xlfn.XLOOKUP($A23,tblCustomers[Customer ID],tblCustomers[Product Requested]),"")</f>
        <v>Savings</v>
      </c>
      <c r="F23" t="str">
        <f>IFERROR(_xlfn.XLOOKUP($A23,tblCustomers[Customer ID],tblCustomers[Delivery Channel]),"")</f>
        <v>Relationship Manager</v>
      </c>
      <c r="G23" t="str">
        <f>IFERROR(_xlfn.XLOOKUP($A23,tblScreening[Customer ID],tblScreening[Screening Result]),"")</f>
        <v>EDD Review</v>
      </c>
      <c r="H23">
        <f>IFERROR(_xlfn.XLOOKUP(B23,tblCustomerType[Customer Type],tblCustomerType[Risk Score]),0)</f>
        <v>2</v>
      </c>
      <c r="I23">
        <f>IFERROR(_xlfn.XLOOKUP(C23,tblCountryRisk[Country],tblCountryRisk[Risk Score]),0)</f>
        <v>2</v>
      </c>
      <c r="J23">
        <f>IFERROR(_xlfn.XLOOKUP(D23,tblOccupationRisk[Occupation],tblOccupationRisk[Risk Score]),0)</f>
        <v>1</v>
      </c>
      <c r="K23">
        <f>IFERROR(_xlfn.XLOOKUP(E23,tblProductRisk[Product],tblProductRisk[Risk Score]),0)</f>
        <v>1</v>
      </c>
      <c r="L23">
        <f>IFERROR(_xlfn.XLOOKUP(F23,tblChannelRisk[Channel],tblChannelRisk[Risk Score]),0)</f>
        <v>2</v>
      </c>
      <c r="M23">
        <f>IFERROR(_xlfn.XLOOKUP(G23,tblScreeningRisk[Screening Result],tblScreeningRisk[Risk Score]),0)</f>
        <v>5</v>
      </c>
      <c r="N23">
        <f>IFERROR(
_xlfn.MAXIFS(
'[1]Transaction Monitoring'!Q:Q,
'[1]Transaction Monitoring'!B:B,
A23
),
1
)</f>
        <v>1</v>
      </c>
      <c r="O23">
        <f t="shared" si="0"/>
        <v>14</v>
      </c>
      <c r="P23" t="str" cm="1">
        <f t="array" ref="P23">_xlfn.IFS(
O23&lt;=12,"Low",
O23&lt;=20,"Medium",
O23&lt;=30,"High",
TRUE,"Very High"
)</f>
        <v>Medium</v>
      </c>
      <c r="Q23" t="str" cm="1">
        <f t="array" ref="Q23">_xlfn.IFS(
G23="Reject","EDD",
R23="Potential Match","EDD",
G23="EDD Review","EDD",
AND(S23="Yes",I23&gt;=4),"EDD",
T23="No","EDD",
TRUE,
_xlfn.XLOOKUP(
P23,
tblDueDiligence[Risk Rating],
tblDueDiligence[Due Diligence]
)
)</f>
        <v>EDD</v>
      </c>
      <c r="R23" t="str">
        <f>IFERROR(
_xlfn.XLOOKUP($A23,
tblScreening[Customer ID],
tblScreening[Sanction Match]),
"")</f>
        <v>No Match</v>
      </c>
      <c r="S23" t="str">
        <f>IFERROR(
_xlfn.XLOOKUP($A23,
tblScreening[Customer ID],
tblScreening[PEP]),
"")</f>
        <v>Yes</v>
      </c>
      <c r="T23" t="str">
        <f>IFERROR(
_xlfn.XLOOKUP($A23,
tblScreening[Customer ID],
tblScreening[Source of Wealth Obtained]),
"")</f>
        <v>Yes</v>
      </c>
      <c r="U23" t="str" cm="1">
        <f t="array" ref="U23">_xlfn.IFS(
G23="Reject","Screening Rejected",
R23="Potential Match","Potential Sanctions Match",
AND(S23="Yes",I23&gt;=4),"PEP in High-Risk Country",
T23="No","Missing Source of Wealth",
G23="EDD Review","EDD Review Required",
TRUE,"None"
)</f>
        <v>EDD Review Required</v>
      </c>
      <c r="V23" t="str" cm="1">
        <f t="array" ref="V23">_xlfn.IFS(
G23="Reject","Reject",
R23="Potential Match","Reject",
G23="EDD Review","Escalate",
AND(S23="Yes",I23&gt;=4),"Escalate",
T23="No","Escalate",
TRUE,
_xlfn.XLOOKUP(
Q23,
tblDecision[Due Diligence],
tblDecision[Decision]
)
)</f>
        <v>Escalate</v>
      </c>
    </row>
    <row r="24" spans="1:22" x14ac:dyDescent="0.25">
      <c r="A24" t="s">
        <v>89</v>
      </c>
      <c r="B24" t="str">
        <f>IFERROR(_xlfn.XLOOKUP($A24,tblCustomers[Customer ID],tblCustomers[Customer Type]),"")</f>
        <v>Individual</v>
      </c>
      <c r="C24" t="str">
        <f>IFERROR(_xlfn.XLOOKUP($A24,tblCustomers[Customer ID],tblCustomers[Country]),"")</f>
        <v>Nigeria</v>
      </c>
      <c r="D24" t="str">
        <f>IFERROR(_xlfn.XLOOKUP($A24,tblCustomers[Customer ID],tblCustomers[Occupation/Industry]),"")</f>
        <v>Architect</v>
      </c>
      <c r="E24" t="str">
        <f>IFERROR(_xlfn.XLOOKUP($A24,tblCustomers[Customer ID],tblCustomers[Product Requested]),"")</f>
        <v>Current</v>
      </c>
      <c r="F24" t="str">
        <f>IFERROR(_xlfn.XLOOKUP($A24,tblCustomers[Customer ID],tblCustomers[Delivery Channel]),"")</f>
        <v>Mobile App</v>
      </c>
      <c r="G24" t="str">
        <f>IFERROR(_xlfn.XLOOKUP($A24,tblScreening[Customer ID],tblScreening[Screening Result]),"")</f>
        <v>Clear</v>
      </c>
      <c r="H24">
        <f>IFERROR(_xlfn.XLOOKUP(B24,tblCustomerType[Customer Type],tblCustomerType[Risk Score]),0)</f>
        <v>2</v>
      </c>
      <c r="I24">
        <f>IFERROR(_xlfn.XLOOKUP(C24,tblCountryRisk[Country],tblCountryRisk[Risk Score]),0)</f>
        <v>2</v>
      </c>
      <c r="J24">
        <f>IFERROR(_xlfn.XLOOKUP(D24,tblOccupationRisk[Occupation],tblOccupationRisk[Risk Score]),0)</f>
        <v>1</v>
      </c>
      <c r="K24">
        <f>IFERROR(_xlfn.XLOOKUP(E24,tblProductRisk[Product],tblProductRisk[Risk Score]),0)</f>
        <v>2</v>
      </c>
      <c r="L24">
        <f>IFERROR(_xlfn.XLOOKUP(F24,tblChannelRisk[Channel],tblChannelRisk[Risk Score]),0)</f>
        <v>3</v>
      </c>
      <c r="M24">
        <f>IFERROR(_xlfn.XLOOKUP(G24,tblScreeningRisk[Screening Result],tblScreeningRisk[Risk Score]),0)</f>
        <v>1</v>
      </c>
      <c r="N24">
        <f>IFERROR(
_xlfn.MAXIFS(
'[1]Transaction Monitoring'!Q:Q,
'[1]Transaction Monitoring'!B:B,
A24
),
1
)</f>
        <v>1</v>
      </c>
      <c r="O24">
        <f t="shared" si="0"/>
        <v>12</v>
      </c>
      <c r="P24" t="str" cm="1">
        <f t="array" ref="P24">_xlfn.IFS(
O24&lt;=12,"Low",
O24&lt;=20,"Medium",
O24&lt;=30,"High",
TRUE,"Very High"
)</f>
        <v>Low</v>
      </c>
      <c r="Q24" t="str" cm="1">
        <f t="array" ref="Q24">_xlfn.IFS(
G24="Reject","EDD",
R24="Potential Match","EDD",
G24="EDD Review","EDD",
AND(S24="Yes",I24&gt;=4),"EDD",
T24="No","EDD",
TRUE,
_xlfn.XLOOKUP(
P24,
tblDueDiligence[Risk Rating],
tblDueDiligence[Due Diligence]
)
)</f>
        <v>EDD</v>
      </c>
      <c r="R24" t="str">
        <f>IFERROR(
_xlfn.XLOOKUP($A24,
tblScreening[Customer ID],
tblScreening[Sanction Match]),
"")</f>
        <v>No Match</v>
      </c>
      <c r="S24" t="str">
        <f>IFERROR(
_xlfn.XLOOKUP($A24,
tblScreening[Customer ID],
tblScreening[PEP]),
"")</f>
        <v>No</v>
      </c>
      <c r="T24" t="str">
        <f>IFERROR(
_xlfn.XLOOKUP($A24,
tblScreening[Customer ID],
tblScreening[Source of Wealth Obtained]),
"")</f>
        <v>No</v>
      </c>
      <c r="U24" t="str" cm="1">
        <f t="array" ref="U24">_xlfn.IFS(
G24="Reject","Screening Rejected",
R24="Potential Match","Potential Sanctions Match",
AND(S24="Yes",I24&gt;=4),"PEP in High-Risk Country",
T24="No","Missing Source of Wealth",
G24="EDD Review","EDD Review Required",
TRUE,"None"
)</f>
        <v>Missing Source of Wealth</v>
      </c>
      <c r="V24" t="str" cm="1">
        <f t="array" ref="V24">_xlfn.IFS(
G24="Reject","Reject",
R24="Potential Match","Reject",
G24="EDD Review","Escalate",
AND(S24="Yes",I24&gt;=4),"Escalate",
T24="No","Escalate",
TRUE,
_xlfn.XLOOKUP(
Q24,
tblDecision[Due Diligence],
tblDecision[Decision]
)
)</f>
        <v>Escalate</v>
      </c>
    </row>
    <row r="25" spans="1:22" x14ac:dyDescent="0.25">
      <c r="A25" t="s">
        <v>91</v>
      </c>
      <c r="B25" t="str">
        <f>IFERROR(_xlfn.XLOOKUP($A25,tblCustomers[Customer ID],tblCustomers[Customer Type]),"")</f>
        <v>Individual</v>
      </c>
      <c r="C25" t="str">
        <f>IFERROR(_xlfn.XLOOKUP($A25,tblCustomers[Customer ID],tblCustomers[Country]),"")</f>
        <v>Kenya</v>
      </c>
      <c r="D25" t="str">
        <f>IFERROR(_xlfn.XLOOKUP($A25,tblCustomers[Customer ID],tblCustomers[Occupation/Industry]),"")</f>
        <v>Trader</v>
      </c>
      <c r="E25" t="str">
        <f>IFERROR(_xlfn.XLOOKUP($A25,tblCustomers[Customer ID],tblCustomers[Product Requested]),"")</f>
        <v>Current</v>
      </c>
      <c r="F25" t="str">
        <f>IFERROR(_xlfn.XLOOKUP($A25,tblCustomers[Customer ID],tblCustomers[Delivery Channel]),"")</f>
        <v>Mobile App</v>
      </c>
      <c r="G25" t="str">
        <f>IFERROR(_xlfn.XLOOKUP($A25,tblScreening[Customer ID],tblScreening[Screening Result]),"")</f>
        <v>Clear</v>
      </c>
      <c r="H25">
        <f>IFERROR(_xlfn.XLOOKUP(B25,tblCustomerType[Customer Type],tblCustomerType[Risk Score]),0)</f>
        <v>2</v>
      </c>
      <c r="I25">
        <f>IFERROR(_xlfn.XLOOKUP(C25,tblCountryRisk[Country],tblCountryRisk[Risk Score]),0)</f>
        <v>2</v>
      </c>
      <c r="J25">
        <f>IFERROR(_xlfn.XLOOKUP(D25,tblOccupationRisk[Occupation],tblOccupationRisk[Risk Score]),0)</f>
        <v>3</v>
      </c>
      <c r="K25">
        <f>IFERROR(_xlfn.XLOOKUP(E25,tblProductRisk[Product],tblProductRisk[Risk Score]),0)</f>
        <v>2</v>
      </c>
      <c r="L25">
        <f>IFERROR(_xlfn.XLOOKUP(F25,tblChannelRisk[Channel],tblChannelRisk[Risk Score]),0)</f>
        <v>3</v>
      </c>
      <c r="M25">
        <f>IFERROR(_xlfn.XLOOKUP(G25,tblScreeningRisk[Screening Result],tblScreeningRisk[Risk Score]),0)</f>
        <v>1</v>
      </c>
      <c r="N25">
        <f>IFERROR(
_xlfn.MAXIFS(
'[1]Transaction Monitoring'!Q:Q,
'[1]Transaction Monitoring'!B:B,
A25
),
1
)</f>
        <v>1</v>
      </c>
      <c r="O25">
        <f t="shared" si="0"/>
        <v>14</v>
      </c>
      <c r="P25" t="str" cm="1">
        <f t="array" ref="P25">_xlfn.IFS(
O25&lt;=12,"Low",
O25&lt;=20,"Medium",
O25&lt;=30,"High",
TRUE,"Very High"
)</f>
        <v>Medium</v>
      </c>
      <c r="Q25" t="str" cm="1">
        <f t="array" ref="Q25">_xlfn.IFS(
G25="Reject","EDD",
R25="Potential Match","EDD",
G25="EDD Review","EDD",
AND(S25="Yes",I25&gt;=4),"EDD",
T25="No","EDD",
TRUE,
_xlfn.XLOOKUP(
P25,
tblDueDiligence[Risk Rating],
tblDueDiligence[Due Diligence]
)
)</f>
        <v>CDD</v>
      </c>
      <c r="R25" t="str">
        <f>IFERROR(
_xlfn.XLOOKUP($A25,
tblScreening[Customer ID],
tblScreening[Sanction Match]),
"")</f>
        <v>No Match</v>
      </c>
      <c r="S25" t="str">
        <f>IFERROR(
_xlfn.XLOOKUP($A25,
tblScreening[Customer ID],
tblScreening[PEP]),
"")</f>
        <v>No</v>
      </c>
      <c r="T25" t="str">
        <f>IFERROR(
_xlfn.XLOOKUP($A25,
tblScreening[Customer ID],
tblScreening[Source of Wealth Obtained]),
"")</f>
        <v>Yes</v>
      </c>
      <c r="U25" t="str" cm="1">
        <f t="array" ref="U25">_xlfn.IFS(
G25="Reject","Screening Rejected",
R25="Potential Match","Potential Sanctions Match",
AND(S25="Yes",I25&gt;=4),"PEP in High-Risk Country",
T25="No","Missing Source of Wealth",
G25="EDD Review","EDD Review Required",
TRUE,"None"
)</f>
        <v>None</v>
      </c>
      <c r="V25" t="str" cm="1">
        <f t="array" ref="V25">_xlfn.IFS(
G25="Reject","Reject",
R25="Potential Match","Reject",
G25="EDD Review","Escalate",
AND(S25="Yes",I25&gt;=4),"Escalate",
T25="No","Escalate",
TRUE,
_xlfn.XLOOKUP(
Q25,
tblDecision[Due Diligence],
tblDecision[Decision]
)
)</f>
        <v>Approve</v>
      </c>
    </row>
    <row r="26" spans="1:22" x14ac:dyDescent="0.25">
      <c r="A26" t="s">
        <v>94</v>
      </c>
      <c r="B26" t="str">
        <f>IFERROR(_xlfn.XLOOKUP($A26,tblCustomers[Customer ID],tblCustomers[Customer Type]),"")</f>
        <v>Individual</v>
      </c>
      <c r="C26" t="str">
        <f>IFERROR(_xlfn.XLOOKUP($A26,tblCustomers[Customer ID],tblCustomers[Country]),"")</f>
        <v>South Africa</v>
      </c>
      <c r="D26" t="str">
        <f>IFERROR(_xlfn.XLOOKUP($A26,tblCustomers[Customer ID],tblCustomers[Occupation/Industry]),"")</f>
        <v>Trader</v>
      </c>
      <c r="E26" t="str">
        <f>IFERROR(_xlfn.XLOOKUP($A26,tblCustomers[Customer ID],tblCustomers[Product Requested]),"")</f>
        <v>Fixed Deposit</v>
      </c>
      <c r="F26" t="str">
        <f>IFERROR(_xlfn.XLOOKUP($A26,tblCustomers[Customer ID],tblCustomers[Delivery Channel]),"")</f>
        <v>Online</v>
      </c>
      <c r="G26" t="str">
        <f>IFERROR(_xlfn.XLOOKUP($A26,tblScreening[Customer ID],tblScreening[Screening Result]),"")</f>
        <v>Clear</v>
      </c>
      <c r="H26">
        <f>IFERROR(_xlfn.XLOOKUP(B26,tblCustomerType[Customer Type],tblCustomerType[Risk Score]),0)</f>
        <v>2</v>
      </c>
      <c r="I26">
        <f>IFERROR(_xlfn.XLOOKUP(C26,tblCountryRisk[Country],tblCountryRisk[Risk Score]),0)</f>
        <v>2</v>
      </c>
      <c r="J26">
        <f>IFERROR(_xlfn.XLOOKUP(D26,tblOccupationRisk[Occupation],tblOccupationRisk[Risk Score]),0)</f>
        <v>3</v>
      </c>
      <c r="K26">
        <f>IFERROR(_xlfn.XLOOKUP(E26,tblProductRisk[Product],tblProductRisk[Risk Score]),0)</f>
        <v>2</v>
      </c>
      <c r="L26">
        <f>IFERROR(_xlfn.XLOOKUP(F26,tblChannelRisk[Channel],tblChannelRisk[Risk Score]),0)</f>
        <v>3</v>
      </c>
      <c r="M26">
        <f>IFERROR(_xlfn.XLOOKUP(G26,tblScreeningRisk[Screening Result],tblScreeningRisk[Risk Score]),0)</f>
        <v>1</v>
      </c>
      <c r="N26">
        <f>IFERROR(
_xlfn.MAXIFS(
'[1]Transaction Monitoring'!Q:Q,
'[1]Transaction Monitoring'!B:B,
A26
),
1
)</f>
        <v>1</v>
      </c>
      <c r="O26">
        <f t="shared" si="0"/>
        <v>14</v>
      </c>
      <c r="P26" t="str" cm="1">
        <f t="array" ref="P26">_xlfn.IFS(
O26&lt;=12,"Low",
O26&lt;=20,"Medium",
O26&lt;=30,"High",
TRUE,"Very High"
)</f>
        <v>Medium</v>
      </c>
      <c r="Q26" t="str" cm="1">
        <f t="array" ref="Q26">_xlfn.IFS(
G26="Reject","EDD",
R26="Potential Match","EDD",
G26="EDD Review","EDD",
AND(S26="Yes",I26&gt;=4),"EDD",
T26="No","EDD",
TRUE,
_xlfn.XLOOKUP(
P26,
tblDueDiligence[Risk Rating],
tblDueDiligence[Due Diligence]
)
)</f>
        <v>CDD</v>
      </c>
      <c r="R26" t="str">
        <f>IFERROR(
_xlfn.XLOOKUP($A26,
tblScreening[Customer ID],
tblScreening[Sanction Match]),
"")</f>
        <v>No Match</v>
      </c>
      <c r="S26" t="str">
        <f>IFERROR(
_xlfn.XLOOKUP($A26,
tblScreening[Customer ID],
tblScreening[PEP]),
"")</f>
        <v>No</v>
      </c>
      <c r="T26" t="str">
        <f>IFERROR(
_xlfn.XLOOKUP($A26,
tblScreening[Customer ID],
tblScreening[Source of Wealth Obtained]),
"")</f>
        <v>Yes</v>
      </c>
      <c r="U26" t="str" cm="1">
        <f t="array" ref="U26">_xlfn.IFS(
G26="Reject","Screening Rejected",
R26="Potential Match","Potential Sanctions Match",
AND(S26="Yes",I26&gt;=4),"PEP in High-Risk Country",
T26="No","Missing Source of Wealth",
G26="EDD Review","EDD Review Required",
TRUE,"None"
)</f>
        <v>None</v>
      </c>
      <c r="V26" t="str" cm="1">
        <f t="array" ref="V26">_xlfn.IFS(
G26="Reject","Reject",
R26="Potential Match","Reject",
G26="EDD Review","Escalate",
AND(S26="Yes",I26&gt;=4),"Escalate",
T26="No","Escalate",
TRUE,
_xlfn.XLOOKUP(
Q26,
tblDecision[Due Diligence],
tblDecision[Decision]
)
)</f>
        <v>Approve</v>
      </c>
    </row>
    <row r="27" spans="1:22" x14ac:dyDescent="0.25">
      <c r="A27" t="s">
        <v>96</v>
      </c>
      <c r="B27" t="str">
        <f>IFERROR(_xlfn.XLOOKUP($A27,tblCustomers[Customer ID],tblCustomers[Customer Type]),"")</f>
        <v>Individual</v>
      </c>
      <c r="C27" t="str">
        <f>IFERROR(_xlfn.XLOOKUP($A27,tblCustomers[Customer ID],tblCustomers[Country]),"")</f>
        <v>Nigeria</v>
      </c>
      <c r="D27" t="str">
        <f>IFERROR(_xlfn.XLOOKUP($A27,tblCustomers[Customer ID],tblCustomers[Occupation/Industry]),"")</f>
        <v>Doctor</v>
      </c>
      <c r="E27" t="str">
        <f>IFERROR(_xlfn.XLOOKUP($A27,tblCustomers[Customer ID],tblCustomers[Product Requested]),"")</f>
        <v>Current</v>
      </c>
      <c r="F27" t="str">
        <f>IFERROR(_xlfn.XLOOKUP($A27,tblCustomers[Customer ID],tblCustomers[Delivery Channel]),"")</f>
        <v>Mobile App</v>
      </c>
      <c r="G27" t="str">
        <f>IFERROR(_xlfn.XLOOKUP($A27,tblScreening[Customer ID],tblScreening[Screening Result]),"")</f>
        <v>Clear</v>
      </c>
      <c r="H27">
        <f>IFERROR(_xlfn.XLOOKUP(B27,tblCustomerType[Customer Type],tblCustomerType[Risk Score]),0)</f>
        <v>2</v>
      </c>
      <c r="I27">
        <f>IFERROR(_xlfn.XLOOKUP(C27,tblCountryRisk[Country],tblCountryRisk[Risk Score]),0)</f>
        <v>2</v>
      </c>
      <c r="J27">
        <f>IFERROR(_xlfn.XLOOKUP(D27,tblOccupationRisk[Occupation],tblOccupationRisk[Risk Score]),0)</f>
        <v>0</v>
      </c>
      <c r="K27">
        <f>IFERROR(_xlfn.XLOOKUP(E27,tblProductRisk[Product],tblProductRisk[Risk Score]),0)</f>
        <v>2</v>
      </c>
      <c r="L27">
        <f>IFERROR(_xlfn.XLOOKUP(F27,tblChannelRisk[Channel],tblChannelRisk[Risk Score]),0)</f>
        <v>3</v>
      </c>
      <c r="M27">
        <f>IFERROR(_xlfn.XLOOKUP(G27,tblScreeningRisk[Screening Result],tblScreeningRisk[Risk Score]),0)</f>
        <v>1</v>
      </c>
      <c r="N27">
        <f>IFERROR(
_xlfn.MAXIFS(
'[1]Transaction Monitoring'!Q:Q,
'[1]Transaction Monitoring'!B:B,
A27
),
1
)</f>
        <v>1</v>
      </c>
      <c r="O27">
        <f t="shared" si="0"/>
        <v>11</v>
      </c>
      <c r="P27" t="str" cm="1">
        <f t="array" ref="P27">_xlfn.IFS(
O27&lt;=12,"Low",
O27&lt;=20,"Medium",
O27&lt;=30,"High",
TRUE,"Very High"
)</f>
        <v>Low</v>
      </c>
      <c r="Q27" t="str" cm="1">
        <f t="array" ref="Q27">_xlfn.IFS(
G27="Reject","EDD",
R27="Potential Match","EDD",
G27="EDD Review","EDD",
AND(S27="Yes",I27&gt;=4),"EDD",
T27="No","EDD",
TRUE,
_xlfn.XLOOKUP(
P27,
tblDueDiligence[Risk Rating],
tblDueDiligence[Due Diligence]
)
)</f>
        <v>SDD</v>
      </c>
      <c r="R27" t="str">
        <f>IFERROR(
_xlfn.XLOOKUP($A27,
tblScreening[Customer ID],
tblScreening[Sanction Match]),
"")</f>
        <v>No Match</v>
      </c>
      <c r="S27" t="str">
        <f>IFERROR(
_xlfn.XLOOKUP($A27,
tblScreening[Customer ID],
tblScreening[PEP]),
"")</f>
        <v>No</v>
      </c>
      <c r="T27" t="str">
        <f>IFERROR(
_xlfn.XLOOKUP($A27,
tblScreening[Customer ID],
tblScreening[Source of Wealth Obtained]),
"")</f>
        <v>Yes</v>
      </c>
      <c r="U27" t="str" cm="1">
        <f t="array" ref="U27">_xlfn.IFS(
G27="Reject","Screening Rejected",
R27="Potential Match","Potential Sanctions Match",
AND(S27="Yes",I27&gt;=4),"PEP in High-Risk Country",
T27="No","Missing Source of Wealth",
G27="EDD Review","EDD Review Required",
TRUE,"None"
)</f>
        <v>None</v>
      </c>
      <c r="V27" t="str" cm="1">
        <f t="array" ref="V27">_xlfn.IFS(
G27="Reject","Reject",
R27="Potential Match","Reject",
G27="EDD Review","Escalate",
AND(S27="Yes",I27&gt;=4),"Escalate",
T27="No","Escalate",
TRUE,
_xlfn.XLOOKUP(
Q27,
tblDecision[Due Diligence],
tblDecision[Decision]
)
)</f>
        <v>Approve</v>
      </c>
    </row>
    <row r="28" spans="1:22" x14ac:dyDescent="0.25">
      <c r="A28" t="s">
        <v>97</v>
      </c>
      <c r="B28" t="str">
        <f>IFERROR(_xlfn.XLOOKUP($A28,tblCustomers[Customer ID],tblCustomers[Customer Type]),"")</f>
        <v>Individual</v>
      </c>
      <c r="C28" t="str">
        <f>IFERROR(_xlfn.XLOOKUP($A28,tblCustomers[Customer ID],tblCustomers[Country]),"")</f>
        <v>Ghana</v>
      </c>
      <c r="D28" t="str">
        <f>IFERROR(_xlfn.XLOOKUP($A28,tblCustomers[Customer ID],tblCustomers[Occupation/Industry]),"")</f>
        <v>Lawyer</v>
      </c>
      <c r="E28" t="str">
        <f>IFERROR(_xlfn.XLOOKUP($A28,tblCustomers[Customer ID],tblCustomers[Product Requested]),"")</f>
        <v>Fixed Deposit</v>
      </c>
      <c r="F28" t="str">
        <f>IFERROR(_xlfn.XLOOKUP($A28,tblCustomers[Customer ID],tblCustomers[Delivery Channel]),"")</f>
        <v>Online</v>
      </c>
      <c r="G28" t="str">
        <f>IFERROR(_xlfn.XLOOKUP($A28,tblScreening[Customer ID],tblScreening[Screening Result]),"")</f>
        <v>Clear</v>
      </c>
      <c r="H28">
        <f>IFERROR(_xlfn.XLOOKUP(B28,tblCustomerType[Customer Type],tblCustomerType[Risk Score]),0)</f>
        <v>2</v>
      </c>
      <c r="I28">
        <f>IFERROR(_xlfn.XLOOKUP(C28,tblCountryRisk[Country],tblCountryRisk[Risk Score]),0)</f>
        <v>2</v>
      </c>
      <c r="J28">
        <f>IFERROR(_xlfn.XLOOKUP(D28,tblOccupationRisk[Occupation],tblOccupationRisk[Risk Score]),0)</f>
        <v>2</v>
      </c>
      <c r="K28">
        <f>IFERROR(_xlfn.XLOOKUP(E28,tblProductRisk[Product],tblProductRisk[Risk Score]),0)</f>
        <v>2</v>
      </c>
      <c r="L28">
        <f>IFERROR(_xlfn.XLOOKUP(F28,tblChannelRisk[Channel],tblChannelRisk[Risk Score]),0)</f>
        <v>3</v>
      </c>
      <c r="M28">
        <f>IFERROR(_xlfn.XLOOKUP(G28,tblScreeningRisk[Screening Result],tblScreeningRisk[Risk Score]),0)</f>
        <v>1</v>
      </c>
      <c r="N28">
        <f>IFERROR(
_xlfn.MAXIFS(
'[1]Transaction Monitoring'!Q:Q,
'[1]Transaction Monitoring'!B:B,
A28
),
1
)</f>
        <v>1</v>
      </c>
      <c r="O28">
        <f t="shared" si="0"/>
        <v>13</v>
      </c>
      <c r="P28" t="str" cm="1">
        <f t="array" ref="P28">_xlfn.IFS(
O28&lt;=12,"Low",
O28&lt;=20,"Medium",
O28&lt;=30,"High",
TRUE,"Very High"
)</f>
        <v>Medium</v>
      </c>
      <c r="Q28" t="str" cm="1">
        <f t="array" ref="Q28">_xlfn.IFS(
G28="Reject","EDD",
R28="Potential Match","EDD",
G28="EDD Review","EDD",
AND(S28="Yes",I28&gt;=4),"EDD",
T28="No","EDD",
TRUE,
_xlfn.XLOOKUP(
P28,
tblDueDiligence[Risk Rating],
tblDueDiligence[Due Diligence]
)
)</f>
        <v>CDD</v>
      </c>
      <c r="R28" t="str">
        <f>IFERROR(
_xlfn.XLOOKUP($A28,
tblScreening[Customer ID],
tblScreening[Sanction Match]),
"")</f>
        <v>No Match</v>
      </c>
      <c r="S28" t="str">
        <f>IFERROR(
_xlfn.XLOOKUP($A28,
tblScreening[Customer ID],
tblScreening[PEP]),
"")</f>
        <v>No</v>
      </c>
      <c r="T28" t="str">
        <f>IFERROR(
_xlfn.XLOOKUP($A28,
tblScreening[Customer ID],
tblScreening[Source of Wealth Obtained]),
"")</f>
        <v>Yes</v>
      </c>
      <c r="U28" t="str" cm="1">
        <f t="array" ref="U28">_xlfn.IFS(
G28="Reject","Screening Rejected",
R28="Potential Match","Potential Sanctions Match",
AND(S28="Yes",I28&gt;=4),"PEP in High-Risk Country",
T28="No","Missing Source of Wealth",
G28="EDD Review","EDD Review Required",
TRUE,"None"
)</f>
        <v>None</v>
      </c>
      <c r="V28" t="str" cm="1">
        <f t="array" ref="V28">_xlfn.IFS(
G28="Reject","Reject",
R28="Potential Match","Reject",
G28="EDD Review","Escalate",
AND(S28="Yes",I28&gt;=4),"Escalate",
T28="No","Escalate",
TRUE,
_xlfn.XLOOKUP(
Q28,
tblDecision[Due Diligence],
tblDecision[Decision]
)
)</f>
        <v>Approve</v>
      </c>
    </row>
    <row r="29" spans="1:22" x14ac:dyDescent="0.25">
      <c r="A29" t="s">
        <v>99</v>
      </c>
      <c r="B29" t="str">
        <f>IFERROR(_xlfn.XLOOKUP($A29,tblCustomers[Customer ID],tblCustomers[Customer Type]),"")</f>
        <v>Individual</v>
      </c>
      <c r="C29" t="str">
        <f>IFERROR(_xlfn.XLOOKUP($A29,tblCustomers[Customer ID],tblCustomers[Country]),"")</f>
        <v>Canada</v>
      </c>
      <c r="D29" t="str">
        <f>IFERROR(_xlfn.XLOOKUP($A29,tblCustomers[Customer ID],tblCustomers[Occupation/Industry]),"")</f>
        <v>Teacher</v>
      </c>
      <c r="E29" t="str">
        <f>IFERROR(_xlfn.XLOOKUP($A29,tblCustomers[Customer ID],tblCustomers[Product Requested]),"")</f>
        <v>Investment</v>
      </c>
      <c r="F29" t="str">
        <f>IFERROR(_xlfn.XLOOKUP($A29,tblCustomers[Customer ID],tblCustomers[Delivery Channel]),"")</f>
        <v>Branch</v>
      </c>
      <c r="G29" t="str">
        <f>IFERROR(_xlfn.XLOOKUP($A29,tblScreening[Customer ID],tblScreening[Screening Result]),"")</f>
        <v>Clear</v>
      </c>
      <c r="H29">
        <f>IFERROR(_xlfn.XLOOKUP(B29,tblCustomerType[Customer Type],tblCustomerType[Risk Score]),0)</f>
        <v>2</v>
      </c>
      <c r="I29">
        <f>IFERROR(_xlfn.XLOOKUP(C29,tblCountryRisk[Country],tblCountryRisk[Risk Score]),0)</f>
        <v>1</v>
      </c>
      <c r="J29">
        <f>IFERROR(_xlfn.XLOOKUP(D29,tblOccupationRisk[Occupation],tblOccupationRisk[Risk Score]),0)</f>
        <v>1</v>
      </c>
      <c r="K29">
        <f>IFERROR(_xlfn.XLOOKUP(E29,tblProductRisk[Product],tblProductRisk[Risk Score]),0)</f>
        <v>3</v>
      </c>
      <c r="L29">
        <f>IFERROR(_xlfn.XLOOKUP(F29,tblChannelRisk[Channel],tblChannelRisk[Risk Score]),0)</f>
        <v>1</v>
      </c>
      <c r="M29">
        <f>IFERROR(_xlfn.XLOOKUP(G29,tblScreeningRisk[Screening Result],tblScreeningRisk[Risk Score]),0)</f>
        <v>1</v>
      </c>
      <c r="N29">
        <f>IFERROR(
_xlfn.MAXIFS(
'[1]Transaction Monitoring'!Q:Q,
'[1]Transaction Monitoring'!B:B,
A29
),
1
)</f>
        <v>1</v>
      </c>
      <c r="O29">
        <f t="shared" si="0"/>
        <v>10</v>
      </c>
      <c r="P29" t="str" cm="1">
        <f t="array" ref="P29">_xlfn.IFS(
O29&lt;=12,"Low",
O29&lt;=20,"Medium",
O29&lt;=30,"High",
TRUE,"Very High"
)</f>
        <v>Low</v>
      </c>
      <c r="Q29" t="str" cm="1">
        <f t="array" ref="Q29">_xlfn.IFS(
G29="Reject","EDD",
R29="Potential Match","EDD",
G29="EDD Review","EDD",
AND(S29="Yes",I29&gt;=4),"EDD",
T29="No","EDD",
TRUE,
_xlfn.XLOOKUP(
P29,
tblDueDiligence[Risk Rating],
tblDueDiligence[Due Diligence]
)
)</f>
        <v>SDD</v>
      </c>
      <c r="R29" t="str">
        <f>IFERROR(
_xlfn.XLOOKUP($A29,
tblScreening[Customer ID],
tblScreening[Sanction Match]),
"")</f>
        <v>No Match</v>
      </c>
      <c r="S29" t="str">
        <f>IFERROR(
_xlfn.XLOOKUP($A29,
tblScreening[Customer ID],
tblScreening[PEP]),
"")</f>
        <v>No</v>
      </c>
      <c r="T29" t="str">
        <f>IFERROR(
_xlfn.XLOOKUP($A29,
tblScreening[Customer ID],
tblScreening[Source of Wealth Obtained]),
"")</f>
        <v>Yes</v>
      </c>
      <c r="U29" t="str" cm="1">
        <f t="array" ref="U29">_xlfn.IFS(
G29="Reject","Screening Rejected",
R29="Potential Match","Potential Sanctions Match",
AND(S29="Yes",I29&gt;=4),"PEP in High-Risk Country",
T29="No","Missing Source of Wealth",
G29="EDD Review","EDD Review Required",
TRUE,"None"
)</f>
        <v>None</v>
      </c>
      <c r="V29" t="str" cm="1">
        <f t="array" ref="V29">_xlfn.IFS(
G29="Reject","Reject",
R29="Potential Match","Reject",
G29="EDD Review","Escalate",
AND(S29="Yes",I29&gt;=4),"Escalate",
T29="No","Escalate",
TRUE,
_xlfn.XLOOKUP(
Q29,
tblDecision[Due Diligence],
tblDecision[Decision]
)
)</f>
        <v>Approve</v>
      </c>
    </row>
    <row r="30" spans="1:22" x14ac:dyDescent="0.25">
      <c r="A30" t="s">
        <v>101</v>
      </c>
      <c r="B30" t="str">
        <f>IFERROR(_xlfn.XLOOKUP($A30,tblCustomers[Customer ID],tblCustomers[Customer Type]),"")</f>
        <v>Individual</v>
      </c>
      <c r="C30" t="str">
        <f>IFERROR(_xlfn.XLOOKUP($A30,tblCustomers[Customer ID],tblCustomers[Country]),"")</f>
        <v>UAE</v>
      </c>
      <c r="D30" t="str">
        <f>IFERROR(_xlfn.XLOOKUP($A30,tblCustomers[Customer ID],tblCustomers[Occupation/Industry]),"")</f>
        <v>Student</v>
      </c>
      <c r="E30" t="str">
        <f>IFERROR(_xlfn.XLOOKUP($A30,tblCustomers[Customer ID],tblCustomers[Product Requested]),"")</f>
        <v>Savings</v>
      </c>
      <c r="F30" t="str">
        <f>IFERROR(_xlfn.XLOOKUP($A30,tblCustomers[Customer ID],tblCustomers[Delivery Channel]),"")</f>
        <v>Branch</v>
      </c>
      <c r="G30" t="str">
        <f>IFERROR(_xlfn.XLOOKUP($A30,tblScreening[Customer ID],tblScreening[Screening Result]),"")</f>
        <v>Clear</v>
      </c>
      <c r="H30">
        <f>IFERROR(_xlfn.XLOOKUP(B30,tblCustomerType[Customer Type],tblCustomerType[Risk Score]),0)</f>
        <v>2</v>
      </c>
      <c r="I30">
        <f>IFERROR(_xlfn.XLOOKUP(C30,tblCountryRisk[Country],tblCountryRisk[Risk Score]),0)</f>
        <v>3</v>
      </c>
      <c r="J30">
        <f>IFERROR(_xlfn.XLOOKUP(D30,tblOccupationRisk[Occupation],tblOccupationRisk[Risk Score]),0)</f>
        <v>1</v>
      </c>
      <c r="K30">
        <f>IFERROR(_xlfn.XLOOKUP(E30,tblProductRisk[Product],tblProductRisk[Risk Score]),0)</f>
        <v>1</v>
      </c>
      <c r="L30">
        <f>IFERROR(_xlfn.XLOOKUP(F30,tblChannelRisk[Channel],tblChannelRisk[Risk Score]),0)</f>
        <v>1</v>
      </c>
      <c r="M30">
        <f>IFERROR(_xlfn.XLOOKUP(G30,tblScreeningRisk[Screening Result],tblScreeningRisk[Risk Score]),0)</f>
        <v>1</v>
      </c>
      <c r="N30">
        <f>IFERROR(
_xlfn.MAXIFS(
'[1]Transaction Monitoring'!Q:Q,
'[1]Transaction Monitoring'!B:B,
A30
),
1
)</f>
        <v>1</v>
      </c>
      <c r="O30">
        <f t="shared" si="0"/>
        <v>10</v>
      </c>
      <c r="P30" t="str" cm="1">
        <f t="array" ref="P30">_xlfn.IFS(
O30&lt;=12,"Low",
O30&lt;=20,"Medium",
O30&lt;=30,"High",
TRUE,"Very High"
)</f>
        <v>Low</v>
      </c>
      <c r="Q30" t="str" cm="1">
        <f t="array" ref="Q30">_xlfn.IFS(
G30="Reject","EDD",
R30="Potential Match","EDD",
G30="EDD Review","EDD",
AND(S30="Yes",I30&gt;=4),"EDD",
T30="No","EDD",
TRUE,
_xlfn.XLOOKUP(
P30,
tblDueDiligence[Risk Rating],
tblDueDiligence[Due Diligence]
)
)</f>
        <v>SDD</v>
      </c>
      <c r="R30" t="str">
        <f>IFERROR(
_xlfn.XLOOKUP($A30,
tblScreening[Customer ID],
tblScreening[Sanction Match]),
"")</f>
        <v>No Match</v>
      </c>
      <c r="S30" t="str">
        <f>IFERROR(
_xlfn.XLOOKUP($A30,
tblScreening[Customer ID],
tblScreening[PEP]),
"")</f>
        <v>No</v>
      </c>
      <c r="T30" t="str">
        <f>IFERROR(
_xlfn.XLOOKUP($A30,
tblScreening[Customer ID],
tblScreening[Source of Wealth Obtained]),
"")</f>
        <v>Yes</v>
      </c>
      <c r="U30" t="str" cm="1">
        <f t="array" ref="U30">_xlfn.IFS(
G30="Reject","Screening Rejected",
R30="Potential Match","Potential Sanctions Match",
AND(S30="Yes",I30&gt;=4),"PEP in High-Risk Country",
T30="No","Missing Source of Wealth",
G30="EDD Review","EDD Review Required",
TRUE,"None"
)</f>
        <v>None</v>
      </c>
      <c r="V30" t="str" cm="1">
        <f t="array" ref="V30">_xlfn.IFS(
G30="Reject","Reject",
R30="Potential Match","Reject",
G30="EDD Review","Escalate",
AND(S30="Yes",I30&gt;=4),"Escalate",
T30="No","Escalate",
TRUE,
_xlfn.XLOOKUP(
Q30,
tblDecision[Due Diligence],
tblDecision[Decision]
)
)</f>
        <v>Approve</v>
      </c>
    </row>
    <row r="31" spans="1:22" x14ac:dyDescent="0.25">
      <c r="A31" t="s">
        <v>103</v>
      </c>
      <c r="B31" t="str">
        <f>IFERROR(_xlfn.XLOOKUP($A31,tblCustomers[Customer ID],tblCustomers[Customer Type]),"")</f>
        <v>Individual</v>
      </c>
      <c r="C31" t="str">
        <f>IFERROR(_xlfn.XLOOKUP($A31,tblCustomers[Customer ID],tblCustomers[Country]),"")</f>
        <v>Canada</v>
      </c>
      <c r="D31" t="str">
        <f>IFERROR(_xlfn.XLOOKUP($A31,tblCustomers[Customer ID],tblCustomers[Occupation/Industry]),"")</f>
        <v>Business Owner</v>
      </c>
      <c r="E31" t="str">
        <f>IFERROR(_xlfn.XLOOKUP($A31,tblCustomers[Customer ID],tblCustomers[Product Requested]),"")</f>
        <v>Investment</v>
      </c>
      <c r="F31" t="str">
        <f>IFERROR(_xlfn.XLOOKUP($A31,tblCustomers[Customer ID],tblCustomers[Delivery Channel]),"")</f>
        <v>Mobile App</v>
      </c>
      <c r="G31" t="str">
        <f>IFERROR(_xlfn.XLOOKUP($A31,tblScreening[Customer ID],tblScreening[Screening Result]),"")</f>
        <v>Clear</v>
      </c>
      <c r="H31">
        <f>IFERROR(_xlfn.XLOOKUP(B31,tblCustomerType[Customer Type],tblCustomerType[Risk Score]),0)</f>
        <v>2</v>
      </c>
      <c r="I31">
        <f>IFERROR(_xlfn.XLOOKUP(C31,tblCountryRisk[Country],tblCountryRisk[Risk Score]),0)</f>
        <v>1</v>
      </c>
      <c r="J31">
        <f>IFERROR(_xlfn.XLOOKUP(D31,tblOccupationRisk[Occupation],tblOccupationRisk[Risk Score]),0)</f>
        <v>3</v>
      </c>
      <c r="K31">
        <f>IFERROR(_xlfn.XLOOKUP(E31,tblProductRisk[Product],tblProductRisk[Risk Score]),0)</f>
        <v>3</v>
      </c>
      <c r="L31">
        <f>IFERROR(_xlfn.XLOOKUP(F31,tblChannelRisk[Channel],tblChannelRisk[Risk Score]),0)</f>
        <v>3</v>
      </c>
      <c r="M31">
        <f>IFERROR(_xlfn.XLOOKUP(G31,tblScreeningRisk[Screening Result],tblScreeningRisk[Risk Score]),0)</f>
        <v>1</v>
      </c>
      <c r="N31">
        <f>IFERROR(
_xlfn.MAXIFS(
'[1]Transaction Monitoring'!Q:Q,
'[1]Transaction Monitoring'!B:B,
A31
),
1
)</f>
        <v>1</v>
      </c>
      <c r="O31">
        <f t="shared" si="0"/>
        <v>14</v>
      </c>
      <c r="P31" t="str" cm="1">
        <f t="array" ref="P31">_xlfn.IFS(
O31&lt;=12,"Low",
O31&lt;=20,"Medium",
O31&lt;=30,"High",
TRUE,"Very High"
)</f>
        <v>Medium</v>
      </c>
      <c r="Q31" t="str" cm="1">
        <f t="array" ref="Q31">_xlfn.IFS(
G31="Reject","EDD",
R31="Potential Match","EDD",
G31="EDD Review","EDD",
AND(S31="Yes",I31&gt;=4),"EDD",
T31="No","EDD",
TRUE,
_xlfn.XLOOKUP(
P31,
tblDueDiligence[Risk Rating],
tblDueDiligence[Due Diligence]
)
)</f>
        <v>EDD</v>
      </c>
      <c r="R31" t="str">
        <f>IFERROR(
_xlfn.XLOOKUP($A31,
tblScreening[Customer ID],
tblScreening[Sanction Match]),
"")</f>
        <v>No Match</v>
      </c>
      <c r="S31" t="str">
        <f>IFERROR(
_xlfn.XLOOKUP($A31,
tblScreening[Customer ID],
tblScreening[PEP]),
"")</f>
        <v>No</v>
      </c>
      <c r="T31" t="str">
        <f>IFERROR(
_xlfn.XLOOKUP($A31,
tblScreening[Customer ID],
tblScreening[Source of Wealth Obtained]),
"")</f>
        <v>No</v>
      </c>
      <c r="U31" t="str" cm="1">
        <f t="array" ref="U31">_xlfn.IFS(
G31="Reject","Screening Rejected",
R31="Potential Match","Potential Sanctions Match",
AND(S31="Yes",I31&gt;=4),"PEP in High-Risk Country",
T31="No","Missing Source of Wealth",
G31="EDD Review","EDD Review Required",
TRUE,"None"
)</f>
        <v>Missing Source of Wealth</v>
      </c>
      <c r="V31" t="str" cm="1">
        <f t="array" ref="V31">_xlfn.IFS(
G31="Reject","Reject",
R31="Potential Match","Reject",
G31="EDD Review","Escalate",
AND(S31="Yes",I31&gt;=4),"Escalate",
T31="No","Escalate",
TRUE,
_xlfn.XLOOKUP(
Q31,
tblDecision[Due Diligence],
tblDecision[Decision]
)
)</f>
        <v>Escalate</v>
      </c>
    </row>
    <row r="32" spans="1:22" x14ac:dyDescent="0.25">
      <c r="A32" t="s">
        <v>106</v>
      </c>
      <c r="B32" t="str">
        <f>IFERROR(_xlfn.XLOOKUP($A32,tblCustomers[Customer ID],tblCustomers[Customer Type]),"")</f>
        <v>Individual</v>
      </c>
      <c r="C32" t="str">
        <f>IFERROR(_xlfn.XLOOKUP($A32,tblCustomers[Customer ID],tblCustomers[Country]),"")</f>
        <v>UAE</v>
      </c>
      <c r="D32" t="str">
        <f>IFERROR(_xlfn.XLOOKUP($A32,tblCustomers[Customer ID],tblCustomers[Occupation/Industry]),"")</f>
        <v>Engineer</v>
      </c>
      <c r="E32" t="str">
        <f>IFERROR(_xlfn.XLOOKUP($A32,tblCustomers[Customer ID],tblCustomers[Product Requested]),"")</f>
        <v>Savings</v>
      </c>
      <c r="F32" t="str">
        <f>IFERROR(_xlfn.XLOOKUP($A32,tblCustomers[Customer ID],tblCustomers[Delivery Channel]),"")</f>
        <v>Relationship Manager</v>
      </c>
      <c r="G32" t="str">
        <f>IFERROR(_xlfn.XLOOKUP($A32,tblScreening[Customer ID],tblScreening[Screening Result]),"")</f>
        <v>Clear</v>
      </c>
      <c r="H32">
        <f>IFERROR(_xlfn.XLOOKUP(B32,tblCustomerType[Customer Type],tblCustomerType[Risk Score]),0)</f>
        <v>2</v>
      </c>
      <c r="I32">
        <f>IFERROR(_xlfn.XLOOKUP(C32,tblCountryRisk[Country],tblCountryRisk[Risk Score]),0)</f>
        <v>3</v>
      </c>
      <c r="J32">
        <f>IFERROR(_xlfn.XLOOKUP(D32,tblOccupationRisk[Occupation],tblOccupationRisk[Risk Score]),0)</f>
        <v>0</v>
      </c>
      <c r="K32">
        <f>IFERROR(_xlfn.XLOOKUP(E32,tblProductRisk[Product],tblProductRisk[Risk Score]),0)</f>
        <v>1</v>
      </c>
      <c r="L32">
        <f>IFERROR(_xlfn.XLOOKUP(F32,tblChannelRisk[Channel],tblChannelRisk[Risk Score]),0)</f>
        <v>2</v>
      </c>
      <c r="M32">
        <f>IFERROR(_xlfn.XLOOKUP(G32,tblScreeningRisk[Screening Result],tblScreeningRisk[Risk Score]),0)</f>
        <v>1</v>
      </c>
      <c r="N32">
        <f>IFERROR(
_xlfn.MAXIFS(
'[1]Transaction Monitoring'!Q:Q,
'[1]Transaction Monitoring'!B:B,
A32
),
1
)</f>
        <v>1</v>
      </c>
      <c r="O32">
        <f t="shared" si="0"/>
        <v>10</v>
      </c>
      <c r="P32" t="str" cm="1">
        <f t="array" ref="P32">_xlfn.IFS(
O32&lt;=12,"Low",
O32&lt;=20,"Medium",
O32&lt;=30,"High",
TRUE,"Very High"
)</f>
        <v>Low</v>
      </c>
      <c r="Q32" t="str" cm="1">
        <f t="array" ref="Q32">_xlfn.IFS(
G32="Reject","EDD",
R32="Potential Match","EDD",
G32="EDD Review","EDD",
AND(S32="Yes",I32&gt;=4),"EDD",
T32="No","EDD",
TRUE,
_xlfn.XLOOKUP(
P32,
tblDueDiligence[Risk Rating],
tblDueDiligence[Due Diligence]
)
)</f>
        <v>SDD</v>
      </c>
      <c r="R32" t="str">
        <f>IFERROR(
_xlfn.XLOOKUP($A32,
tblScreening[Customer ID],
tblScreening[Sanction Match]),
"")</f>
        <v>No Match</v>
      </c>
      <c r="S32" t="str">
        <f>IFERROR(
_xlfn.XLOOKUP($A32,
tblScreening[Customer ID],
tblScreening[PEP]),
"")</f>
        <v>No</v>
      </c>
      <c r="T32" t="str">
        <f>IFERROR(
_xlfn.XLOOKUP($A32,
tblScreening[Customer ID],
tblScreening[Source of Wealth Obtained]),
"")</f>
        <v>Yes</v>
      </c>
      <c r="U32" t="str" cm="1">
        <f t="array" ref="U32">_xlfn.IFS(
G32="Reject","Screening Rejected",
R32="Potential Match","Potential Sanctions Match",
AND(S32="Yes",I32&gt;=4),"PEP in High-Risk Country",
T32="No","Missing Source of Wealth",
G32="EDD Review","EDD Review Required",
TRUE,"None"
)</f>
        <v>None</v>
      </c>
      <c r="V32" t="str" cm="1">
        <f t="array" ref="V32">_xlfn.IFS(
G32="Reject","Reject",
R32="Potential Match","Reject",
G32="EDD Review","Escalate",
AND(S32="Yes",I32&gt;=4),"Escalate",
T32="No","Escalate",
TRUE,
_xlfn.XLOOKUP(
Q32,
tblDecision[Due Diligence],
tblDecision[Decision]
)
)</f>
        <v>Approve</v>
      </c>
    </row>
    <row r="33" spans="1:22" x14ac:dyDescent="0.25">
      <c r="A33" t="s">
        <v>108</v>
      </c>
      <c r="B33" t="str">
        <f>IFERROR(_xlfn.XLOOKUP($A33,tblCustomers[Customer ID],tblCustomers[Customer Type]),"")</f>
        <v>Individual</v>
      </c>
      <c r="C33" t="str">
        <f>IFERROR(_xlfn.XLOOKUP($A33,tblCustomers[Customer ID],tblCustomers[Country]),"")</f>
        <v>United States</v>
      </c>
      <c r="D33" t="str">
        <f>IFERROR(_xlfn.XLOOKUP($A33,tblCustomers[Customer ID],tblCustomers[Occupation/Industry]),"")</f>
        <v>Lawyer</v>
      </c>
      <c r="E33" t="str">
        <f>IFERROR(_xlfn.XLOOKUP($A33,tblCustomers[Customer ID],tblCustomers[Product Requested]),"")</f>
        <v>Fixed Deposit</v>
      </c>
      <c r="F33" t="str">
        <f>IFERROR(_xlfn.XLOOKUP($A33,tblCustomers[Customer ID],tblCustomers[Delivery Channel]),"")</f>
        <v>Online</v>
      </c>
      <c r="G33" t="str">
        <f>IFERROR(_xlfn.XLOOKUP($A33,tblScreening[Customer ID],tblScreening[Screening Result]),"")</f>
        <v>Clear</v>
      </c>
      <c r="H33">
        <f>IFERROR(_xlfn.XLOOKUP(B33,tblCustomerType[Customer Type],tblCustomerType[Risk Score]),0)</f>
        <v>2</v>
      </c>
      <c r="I33">
        <f>IFERROR(_xlfn.XLOOKUP(C33,tblCountryRisk[Country],tblCountryRisk[Risk Score]),0)</f>
        <v>1</v>
      </c>
      <c r="J33">
        <f>IFERROR(_xlfn.XLOOKUP(D33,tblOccupationRisk[Occupation],tblOccupationRisk[Risk Score]),0)</f>
        <v>2</v>
      </c>
      <c r="K33">
        <f>IFERROR(_xlfn.XLOOKUP(E33,tblProductRisk[Product],tblProductRisk[Risk Score]),0)</f>
        <v>2</v>
      </c>
      <c r="L33">
        <f>IFERROR(_xlfn.XLOOKUP(F33,tblChannelRisk[Channel],tblChannelRisk[Risk Score]),0)</f>
        <v>3</v>
      </c>
      <c r="M33">
        <f>IFERROR(_xlfn.XLOOKUP(G33,tblScreeningRisk[Screening Result],tblScreeningRisk[Risk Score]),0)</f>
        <v>1</v>
      </c>
      <c r="N33">
        <f>IFERROR(
_xlfn.MAXIFS(
'[1]Transaction Monitoring'!Q:Q,
'[1]Transaction Monitoring'!B:B,
A33
),
1
)</f>
        <v>1</v>
      </c>
      <c r="O33">
        <f t="shared" si="0"/>
        <v>12</v>
      </c>
      <c r="P33" t="str" cm="1">
        <f t="array" ref="P33">_xlfn.IFS(
O33&lt;=12,"Low",
O33&lt;=20,"Medium",
O33&lt;=30,"High",
TRUE,"Very High"
)</f>
        <v>Low</v>
      </c>
      <c r="Q33" t="str" cm="1">
        <f t="array" ref="Q33">_xlfn.IFS(
G33="Reject","EDD",
R33="Potential Match","EDD",
G33="EDD Review","EDD",
AND(S33="Yes",I33&gt;=4),"EDD",
T33="No","EDD",
TRUE,
_xlfn.XLOOKUP(
P33,
tblDueDiligence[Risk Rating],
tblDueDiligence[Due Diligence]
)
)</f>
        <v>SDD</v>
      </c>
      <c r="R33" t="str">
        <f>IFERROR(
_xlfn.XLOOKUP($A33,
tblScreening[Customer ID],
tblScreening[Sanction Match]),
"")</f>
        <v>No Match</v>
      </c>
      <c r="S33" t="str">
        <f>IFERROR(
_xlfn.XLOOKUP($A33,
tblScreening[Customer ID],
tblScreening[PEP]),
"")</f>
        <v>No</v>
      </c>
      <c r="T33" t="str">
        <f>IFERROR(
_xlfn.XLOOKUP($A33,
tblScreening[Customer ID],
tblScreening[Source of Wealth Obtained]),
"")</f>
        <v>Yes</v>
      </c>
      <c r="U33" t="str" cm="1">
        <f t="array" ref="U33">_xlfn.IFS(
G33="Reject","Screening Rejected",
R33="Potential Match","Potential Sanctions Match",
AND(S33="Yes",I33&gt;=4),"PEP in High-Risk Country",
T33="No","Missing Source of Wealth",
G33="EDD Review","EDD Review Required",
TRUE,"None"
)</f>
        <v>None</v>
      </c>
      <c r="V33" t="str" cm="1">
        <f t="array" ref="V33">_xlfn.IFS(
G33="Reject","Reject",
R33="Potential Match","Reject",
G33="EDD Review","Escalate",
AND(S33="Yes",I33&gt;=4),"Escalate",
T33="No","Escalate",
TRUE,
_xlfn.XLOOKUP(
Q33,
tblDecision[Due Diligence],
tblDecision[Decision]
)
)</f>
        <v>Approve</v>
      </c>
    </row>
    <row r="34" spans="1:22" x14ac:dyDescent="0.25">
      <c r="A34" t="s">
        <v>110</v>
      </c>
      <c r="B34" t="str">
        <f>IFERROR(_xlfn.XLOOKUP($A34,tblCustomers[Customer ID],tblCustomers[Customer Type]),"")</f>
        <v>Individual</v>
      </c>
      <c r="C34" t="str">
        <f>IFERROR(_xlfn.XLOOKUP($A34,tblCustomers[Customer ID],tblCustomers[Country]),"")</f>
        <v>Nigeria</v>
      </c>
      <c r="D34" t="str">
        <f>IFERROR(_xlfn.XLOOKUP($A34,tblCustomers[Customer ID],tblCustomers[Occupation/Industry]),"")</f>
        <v>Doctor</v>
      </c>
      <c r="E34" t="str">
        <f>IFERROR(_xlfn.XLOOKUP($A34,tblCustomers[Customer ID],tblCustomers[Product Requested]),"")</f>
        <v>Investment</v>
      </c>
      <c r="F34" t="str">
        <f>IFERROR(_xlfn.XLOOKUP($A34,tblCustomers[Customer ID],tblCustomers[Delivery Channel]),"")</f>
        <v>Mobile App</v>
      </c>
      <c r="G34" t="str">
        <f>IFERROR(_xlfn.XLOOKUP($A34,tblScreening[Customer ID],tblScreening[Screening Result]),"")</f>
        <v>Review</v>
      </c>
      <c r="H34">
        <f>IFERROR(_xlfn.XLOOKUP(B34,tblCustomerType[Customer Type],tblCustomerType[Risk Score]),0)</f>
        <v>2</v>
      </c>
      <c r="I34">
        <f>IFERROR(_xlfn.XLOOKUP(C34,tblCountryRisk[Country],tblCountryRisk[Risk Score]),0)</f>
        <v>2</v>
      </c>
      <c r="J34">
        <f>IFERROR(_xlfn.XLOOKUP(D34,tblOccupationRisk[Occupation],tblOccupationRisk[Risk Score]),0)</f>
        <v>0</v>
      </c>
      <c r="K34">
        <f>IFERROR(_xlfn.XLOOKUP(E34,tblProductRisk[Product],tblProductRisk[Risk Score]),0)</f>
        <v>3</v>
      </c>
      <c r="L34">
        <f>IFERROR(_xlfn.XLOOKUP(F34,tblChannelRisk[Channel],tblChannelRisk[Risk Score]),0)</f>
        <v>3</v>
      </c>
      <c r="M34">
        <f>IFERROR(_xlfn.XLOOKUP(G34,tblScreeningRisk[Screening Result],tblScreeningRisk[Risk Score]),0)</f>
        <v>3</v>
      </c>
      <c r="N34">
        <f>IFERROR(
_xlfn.MAXIFS(
'[1]Transaction Monitoring'!Q:Q,
'[1]Transaction Monitoring'!B:B,
A34
),
1
)</f>
        <v>1</v>
      </c>
      <c r="O34">
        <f t="shared" si="0"/>
        <v>14</v>
      </c>
      <c r="P34" t="str" cm="1">
        <f t="array" ref="P34">_xlfn.IFS(
O34&lt;=12,"Low",
O34&lt;=20,"Medium",
O34&lt;=30,"High",
TRUE,"Very High"
)</f>
        <v>Medium</v>
      </c>
      <c r="Q34" t="str" cm="1">
        <f t="array" ref="Q34">_xlfn.IFS(
G34="Reject","EDD",
R34="Potential Match","EDD",
G34="EDD Review","EDD",
AND(S34="Yes",I34&gt;=4),"EDD",
T34="No","EDD",
TRUE,
_xlfn.XLOOKUP(
P34,
tblDueDiligence[Risk Rating],
tblDueDiligence[Due Diligence]
)
)</f>
        <v>CDD</v>
      </c>
      <c r="R34" t="str">
        <f>IFERROR(
_xlfn.XLOOKUP($A34,
tblScreening[Customer ID],
tblScreening[Sanction Match]),
"")</f>
        <v>No Match</v>
      </c>
      <c r="S34" t="str">
        <f>IFERROR(
_xlfn.XLOOKUP($A34,
tblScreening[Customer ID],
tblScreening[PEP]),
"")</f>
        <v>Yes</v>
      </c>
      <c r="T34" t="str">
        <f>IFERROR(
_xlfn.XLOOKUP($A34,
tblScreening[Customer ID],
tblScreening[Source of Wealth Obtained]),
"")</f>
        <v>Yes</v>
      </c>
      <c r="U34" t="str" cm="1">
        <f t="array" ref="U34">_xlfn.IFS(
G34="Reject","Screening Rejected",
R34="Potential Match","Potential Sanctions Match",
AND(S34="Yes",I34&gt;=4),"PEP in High-Risk Country",
T34="No","Missing Source of Wealth",
G34="EDD Review","EDD Review Required",
TRUE,"None"
)</f>
        <v>None</v>
      </c>
      <c r="V34" t="str" cm="1">
        <f t="array" ref="V34">_xlfn.IFS(
G34="Reject","Reject",
R34="Potential Match","Reject",
G34="EDD Review","Escalate",
AND(S34="Yes",I34&gt;=4),"Escalate",
T34="No","Escalate",
TRUE,
_xlfn.XLOOKUP(
Q34,
tblDecision[Due Diligence],
tblDecision[Decision]
)
)</f>
        <v>Approve</v>
      </c>
    </row>
    <row r="35" spans="1:22" x14ac:dyDescent="0.25">
      <c r="A35" t="s">
        <v>112</v>
      </c>
      <c r="B35" t="str">
        <f>IFERROR(_xlfn.XLOOKUP($A35,tblCustomers[Customer ID],tblCustomers[Customer Type]),"")</f>
        <v>Individual</v>
      </c>
      <c r="C35" t="str">
        <f>IFERROR(_xlfn.XLOOKUP($A35,tblCustomers[Customer ID],tblCustomers[Country]),"")</f>
        <v>United Kingdom</v>
      </c>
      <c r="D35" t="str">
        <f>IFERROR(_xlfn.XLOOKUP($A35,tblCustomers[Customer ID],tblCustomers[Occupation/Industry]),"")</f>
        <v>Architect</v>
      </c>
      <c r="E35" t="str">
        <f>IFERROR(_xlfn.XLOOKUP($A35,tblCustomers[Customer ID],tblCustomers[Product Requested]),"")</f>
        <v>Savings</v>
      </c>
      <c r="F35" t="str">
        <f>IFERROR(_xlfn.XLOOKUP($A35,tblCustomers[Customer ID],tblCustomers[Delivery Channel]),"")</f>
        <v>Online</v>
      </c>
      <c r="G35" t="str">
        <f>IFERROR(_xlfn.XLOOKUP($A35,tblScreening[Customer ID],tblScreening[Screening Result]),"")</f>
        <v>Clear</v>
      </c>
      <c r="H35">
        <f>IFERROR(_xlfn.XLOOKUP(B35,tblCustomerType[Customer Type],tblCustomerType[Risk Score]),0)</f>
        <v>2</v>
      </c>
      <c r="I35">
        <f>IFERROR(_xlfn.XLOOKUP(C35,tblCountryRisk[Country],tblCountryRisk[Risk Score]),0)</f>
        <v>1</v>
      </c>
      <c r="J35">
        <f>IFERROR(_xlfn.XLOOKUP(D35,tblOccupationRisk[Occupation],tblOccupationRisk[Risk Score]),0)</f>
        <v>1</v>
      </c>
      <c r="K35">
        <f>IFERROR(_xlfn.XLOOKUP(E35,tblProductRisk[Product],tblProductRisk[Risk Score]),0)</f>
        <v>1</v>
      </c>
      <c r="L35">
        <f>IFERROR(_xlfn.XLOOKUP(F35,tblChannelRisk[Channel],tblChannelRisk[Risk Score]),0)</f>
        <v>3</v>
      </c>
      <c r="M35">
        <f>IFERROR(_xlfn.XLOOKUP(G35,tblScreeningRisk[Screening Result],tblScreeningRisk[Risk Score]),0)</f>
        <v>1</v>
      </c>
      <c r="N35">
        <f>IFERROR(
_xlfn.MAXIFS(
'[1]Transaction Monitoring'!Q:Q,
'[1]Transaction Monitoring'!B:B,
A35
),
1
)</f>
        <v>1</v>
      </c>
      <c r="O35">
        <f t="shared" si="0"/>
        <v>10</v>
      </c>
      <c r="P35" t="str" cm="1">
        <f t="array" ref="P35">_xlfn.IFS(
O35&lt;=12,"Low",
O35&lt;=20,"Medium",
O35&lt;=30,"High",
TRUE,"Very High"
)</f>
        <v>Low</v>
      </c>
      <c r="Q35" t="str" cm="1">
        <f t="array" ref="Q35">_xlfn.IFS(
G35="Reject","EDD",
R35="Potential Match","EDD",
G35="EDD Review","EDD",
AND(S35="Yes",I35&gt;=4),"EDD",
T35="No","EDD",
TRUE,
_xlfn.XLOOKUP(
P35,
tblDueDiligence[Risk Rating],
tblDueDiligence[Due Diligence]
)
)</f>
        <v>SDD</v>
      </c>
      <c r="R35" t="str">
        <f>IFERROR(
_xlfn.XLOOKUP($A35,
tblScreening[Customer ID],
tblScreening[Sanction Match]),
"")</f>
        <v>No Match</v>
      </c>
      <c r="S35" t="str">
        <f>IFERROR(
_xlfn.XLOOKUP($A35,
tblScreening[Customer ID],
tblScreening[PEP]),
"")</f>
        <v>No</v>
      </c>
      <c r="T35" t="str">
        <f>IFERROR(
_xlfn.XLOOKUP($A35,
tblScreening[Customer ID],
tblScreening[Source of Wealth Obtained]),
"")</f>
        <v>Yes</v>
      </c>
      <c r="U35" t="str" cm="1">
        <f t="array" ref="U35">_xlfn.IFS(
G35="Reject","Screening Rejected",
R35="Potential Match","Potential Sanctions Match",
AND(S35="Yes",I35&gt;=4),"PEP in High-Risk Country",
T35="No","Missing Source of Wealth",
G35="EDD Review","EDD Review Required",
TRUE,"None"
)</f>
        <v>None</v>
      </c>
      <c r="V35" t="str" cm="1">
        <f t="array" ref="V35">_xlfn.IFS(
G35="Reject","Reject",
R35="Potential Match","Reject",
G35="EDD Review","Escalate",
AND(S35="Yes",I35&gt;=4),"Escalate",
T35="No","Escalate",
TRUE,
_xlfn.XLOOKUP(
Q35,
tblDecision[Due Diligence],
tblDecision[Decision]
)
)</f>
        <v>Approve</v>
      </c>
    </row>
    <row r="36" spans="1:22" x14ac:dyDescent="0.25">
      <c r="A36" t="s">
        <v>114</v>
      </c>
      <c r="B36" t="str">
        <f>IFERROR(_xlfn.XLOOKUP($A36,tblCustomers[Customer ID],tblCustomers[Customer Type]),"")</f>
        <v>Individual</v>
      </c>
      <c r="C36" t="str">
        <f>IFERROR(_xlfn.XLOOKUP($A36,tblCustomers[Customer ID],tblCustomers[Country]),"")</f>
        <v>Kenya</v>
      </c>
      <c r="D36" t="str">
        <f>IFERROR(_xlfn.XLOOKUP($A36,tblCustomers[Customer ID],tblCustomers[Occupation/Industry]),"")</f>
        <v>Student</v>
      </c>
      <c r="E36" t="str">
        <f>IFERROR(_xlfn.XLOOKUP($A36,tblCustomers[Customer ID],tblCustomers[Product Requested]),"")</f>
        <v>Corporate Account</v>
      </c>
      <c r="F36" t="str">
        <f>IFERROR(_xlfn.XLOOKUP($A36,tblCustomers[Customer ID],tblCustomers[Delivery Channel]),"")</f>
        <v>Online</v>
      </c>
      <c r="G36" t="str">
        <f>IFERROR(_xlfn.XLOOKUP($A36,tblScreening[Customer ID],tblScreening[Screening Result]),"")</f>
        <v>Clear</v>
      </c>
      <c r="H36">
        <f>IFERROR(_xlfn.XLOOKUP(B36,tblCustomerType[Customer Type],tblCustomerType[Risk Score]),0)</f>
        <v>2</v>
      </c>
      <c r="I36">
        <f>IFERROR(_xlfn.XLOOKUP(C36,tblCountryRisk[Country],tblCountryRisk[Risk Score]),0)</f>
        <v>2</v>
      </c>
      <c r="J36">
        <f>IFERROR(_xlfn.XLOOKUP(D36,tblOccupationRisk[Occupation],tblOccupationRisk[Risk Score]),0)</f>
        <v>1</v>
      </c>
      <c r="K36">
        <f>IFERROR(_xlfn.XLOOKUP(E36,tblProductRisk[Product],tblProductRisk[Risk Score]),0)</f>
        <v>3</v>
      </c>
      <c r="L36">
        <f>IFERROR(_xlfn.XLOOKUP(F36,tblChannelRisk[Channel],tblChannelRisk[Risk Score]),0)</f>
        <v>3</v>
      </c>
      <c r="M36">
        <f>IFERROR(_xlfn.XLOOKUP(G36,tblScreeningRisk[Screening Result],tblScreeningRisk[Risk Score]),0)</f>
        <v>1</v>
      </c>
      <c r="N36">
        <f>IFERROR(
_xlfn.MAXIFS(
'[1]Transaction Monitoring'!Q:Q,
'[1]Transaction Monitoring'!B:B,
A36
),
1
)</f>
        <v>1</v>
      </c>
      <c r="O36">
        <f t="shared" si="0"/>
        <v>13</v>
      </c>
      <c r="P36" t="str" cm="1">
        <f t="array" ref="P36">_xlfn.IFS(
O36&lt;=12,"Low",
O36&lt;=20,"Medium",
O36&lt;=30,"High",
TRUE,"Very High"
)</f>
        <v>Medium</v>
      </c>
      <c r="Q36" t="str" cm="1">
        <f t="array" ref="Q36">_xlfn.IFS(
G36="Reject","EDD",
R36="Potential Match","EDD",
G36="EDD Review","EDD",
AND(S36="Yes",I36&gt;=4),"EDD",
T36="No","EDD",
TRUE,
_xlfn.XLOOKUP(
P36,
tblDueDiligence[Risk Rating],
tblDueDiligence[Due Diligence]
)
)</f>
        <v>CDD</v>
      </c>
      <c r="R36" t="str">
        <f>IFERROR(
_xlfn.XLOOKUP($A36,
tblScreening[Customer ID],
tblScreening[Sanction Match]),
"")</f>
        <v>No Match</v>
      </c>
      <c r="S36" t="str">
        <f>IFERROR(
_xlfn.XLOOKUP($A36,
tblScreening[Customer ID],
tblScreening[PEP]),
"")</f>
        <v>No</v>
      </c>
      <c r="T36" t="str">
        <f>IFERROR(
_xlfn.XLOOKUP($A36,
tblScreening[Customer ID],
tblScreening[Source of Wealth Obtained]),
"")</f>
        <v>Yes</v>
      </c>
      <c r="U36" t="str" cm="1">
        <f t="array" ref="U36">_xlfn.IFS(
G36="Reject","Screening Rejected",
R36="Potential Match","Potential Sanctions Match",
AND(S36="Yes",I36&gt;=4),"PEP in High-Risk Country",
T36="No","Missing Source of Wealth",
G36="EDD Review","EDD Review Required",
TRUE,"None"
)</f>
        <v>None</v>
      </c>
      <c r="V36" t="str" cm="1">
        <f t="array" ref="V36">_xlfn.IFS(
G36="Reject","Reject",
R36="Potential Match","Reject",
G36="EDD Review","Escalate",
AND(S36="Yes",I36&gt;=4),"Escalate",
T36="No","Escalate",
TRUE,
_xlfn.XLOOKUP(
Q36,
tblDecision[Due Diligence],
tblDecision[Decision]
)
)</f>
        <v>Approve</v>
      </c>
    </row>
    <row r="37" spans="1:22" x14ac:dyDescent="0.25">
      <c r="A37" t="s">
        <v>116</v>
      </c>
      <c r="B37" t="str">
        <f>IFERROR(_xlfn.XLOOKUP($A37,tblCustomers[Customer ID],tblCustomers[Customer Type]),"")</f>
        <v>Individual</v>
      </c>
      <c r="C37" t="str">
        <f>IFERROR(_xlfn.XLOOKUP($A37,tblCustomers[Customer ID],tblCustomers[Country]),"")</f>
        <v>South Africa</v>
      </c>
      <c r="D37" t="str">
        <f>IFERROR(_xlfn.XLOOKUP($A37,tblCustomers[Customer ID],tblCustomers[Occupation/Industry]),"")</f>
        <v>Accountant</v>
      </c>
      <c r="E37" t="str">
        <f>IFERROR(_xlfn.XLOOKUP($A37,tblCustomers[Customer ID],tblCustomers[Product Requested]),"")</f>
        <v>Fixed Deposit</v>
      </c>
      <c r="F37" t="str">
        <f>IFERROR(_xlfn.XLOOKUP($A37,tblCustomers[Customer ID],tblCustomers[Delivery Channel]),"")</f>
        <v>Relationship Manager</v>
      </c>
      <c r="G37" t="str">
        <f>IFERROR(_xlfn.XLOOKUP($A37,tblScreening[Customer ID],tblScreening[Screening Result]),"")</f>
        <v>Reject</v>
      </c>
      <c r="H37">
        <f>IFERROR(_xlfn.XLOOKUP(B37,tblCustomerType[Customer Type],tblCustomerType[Risk Score]),0)</f>
        <v>2</v>
      </c>
      <c r="I37">
        <f>IFERROR(_xlfn.XLOOKUP(C37,tblCountryRisk[Country],tblCountryRisk[Risk Score]),0)</f>
        <v>2</v>
      </c>
      <c r="J37">
        <f>IFERROR(_xlfn.XLOOKUP(D37,tblOccupationRisk[Occupation],tblOccupationRisk[Risk Score]),0)</f>
        <v>1</v>
      </c>
      <c r="K37">
        <f>IFERROR(_xlfn.XLOOKUP(E37,tblProductRisk[Product],tblProductRisk[Risk Score]),0)</f>
        <v>2</v>
      </c>
      <c r="L37">
        <f>IFERROR(_xlfn.XLOOKUP(F37,tblChannelRisk[Channel],tblChannelRisk[Risk Score]),0)</f>
        <v>2</v>
      </c>
      <c r="M37">
        <f>IFERROR(_xlfn.XLOOKUP(G37,tblScreeningRisk[Screening Result],tblScreeningRisk[Risk Score]),0)</f>
        <v>10</v>
      </c>
      <c r="N37">
        <f>IFERROR(
_xlfn.MAXIFS(
'[1]Transaction Monitoring'!Q:Q,
'[1]Transaction Monitoring'!B:B,
A37
),
1
)</f>
        <v>1</v>
      </c>
      <c r="O37">
        <f>SUM(H37:N37)</f>
        <v>20</v>
      </c>
      <c r="P37" t="str" cm="1">
        <f t="array" ref="P37">_xlfn.IFS(
O37&lt;=12,"Low",
O37&lt;=20,"Medium",
O37&lt;=30,"High",
TRUE,"Very High"
)</f>
        <v>Medium</v>
      </c>
      <c r="Q37" t="str" cm="1">
        <f t="array" ref="Q37">_xlfn.IFS(
G37="Reject","EDD",
R37="Potential Match","EDD",
G37="EDD Review","EDD",
AND(S37="Yes",I37&gt;=4),"EDD",
T37="No","EDD",
TRUE,
_xlfn.XLOOKUP(
P37,
tblDueDiligence[Risk Rating],
tblDueDiligence[Due Diligence]
)
)</f>
        <v>EDD</v>
      </c>
      <c r="R37" t="str">
        <f>IFERROR(
_xlfn.XLOOKUP($A37,
tblScreening[Customer ID],
tblScreening[Sanction Match]),
"")</f>
        <v>Potential Match</v>
      </c>
      <c r="S37" t="str">
        <f>IFERROR(
_xlfn.XLOOKUP($A37,
tblScreening[Customer ID],
tblScreening[PEP]),
"")</f>
        <v>No</v>
      </c>
      <c r="T37" t="str">
        <f>IFERROR(
_xlfn.XLOOKUP($A37,
tblScreening[Customer ID],
tblScreening[Source of Wealth Obtained]),
"")</f>
        <v>No</v>
      </c>
      <c r="U37" t="str" cm="1">
        <f t="array" ref="U37">_xlfn.IFS(
G37="Reject","Screening Rejected",
R37="Potential Match","Potential Sanctions Match",
AND(S37="Yes",I37&gt;=4),"PEP in High-Risk Country",
T37="No","Missing Source of Wealth",
G37="EDD Review","EDD Review Required",
TRUE,"None"
)</f>
        <v>Screening Rejected</v>
      </c>
      <c r="V37" t="str" cm="1">
        <f t="array" ref="V37">_xlfn.IFS(
G37="Reject","Reject",
R37="Potential Match","Reject",
G37="EDD Review","Escalate",
AND(S37="Yes",I37&gt;=4),"Escalate",
T37="No","Escalate",
TRUE,
_xlfn.XLOOKUP(
Q37,
tblDecision[Due Diligence],
tblDecision[Decision]
)
)</f>
        <v>Reject</v>
      </c>
    </row>
    <row r="38" spans="1:22" x14ac:dyDescent="0.25">
      <c r="A38" t="s">
        <v>118</v>
      </c>
      <c r="B38" t="str">
        <f>IFERROR(_xlfn.XLOOKUP($A38,tblCustomers[Customer ID],tblCustomers[Customer Type]),"")</f>
        <v>Individual</v>
      </c>
      <c r="C38" t="str">
        <f>IFERROR(_xlfn.XLOOKUP($A38,tblCustomers[Customer ID],tblCustomers[Country]),"")</f>
        <v>Nigeria</v>
      </c>
      <c r="D38" t="str">
        <f>IFERROR(_xlfn.XLOOKUP($A38,tblCustomers[Customer ID],tblCustomers[Occupation/Industry]),"")</f>
        <v>Student</v>
      </c>
      <c r="E38" t="str">
        <f>IFERROR(_xlfn.XLOOKUP($A38,tblCustomers[Customer ID],tblCustomers[Product Requested]),"")</f>
        <v>Corporate Account</v>
      </c>
      <c r="F38" t="str">
        <f>IFERROR(_xlfn.XLOOKUP($A38,tblCustomers[Customer ID],tblCustomers[Delivery Channel]),"")</f>
        <v>Online</v>
      </c>
      <c r="G38" t="str">
        <f>IFERROR(_xlfn.XLOOKUP($A38,tblScreening[Customer ID],tblScreening[Screening Result]),"")</f>
        <v>Clear</v>
      </c>
      <c r="H38">
        <f>IFERROR(_xlfn.XLOOKUP(B38,tblCustomerType[Customer Type],tblCustomerType[Risk Score]),0)</f>
        <v>2</v>
      </c>
      <c r="I38">
        <f>IFERROR(_xlfn.XLOOKUP(C38,tblCountryRisk[Country],tblCountryRisk[Risk Score]),0)</f>
        <v>2</v>
      </c>
      <c r="J38">
        <f>IFERROR(_xlfn.XLOOKUP(D38,tblOccupationRisk[Occupation],tblOccupationRisk[Risk Score]),0)</f>
        <v>1</v>
      </c>
      <c r="K38">
        <f>IFERROR(_xlfn.XLOOKUP(E38,tblProductRisk[Product],tblProductRisk[Risk Score]),0)</f>
        <v>3</v>
      </c>
      <c r="L38">
        <f>IFERROR(_xlfn.XLOOKUP(F38,tblChannelRisk[Channel],tblChannelRisk[Risk Score]),0)</f>
        <v>3</v>
      </c>
      <c r="M38">
        <f>IFERROR(_xlfn.XLOOKUP(G38,tblScreeningRisk[Screening Result],tblScreeningRisk[Risk Score]),0)</f>
        <v>1</v>
      </c>
      <c r="N38">
        <f>IFERROR(
_xlfn.MAXIFS(
'[1]Transaction Monitoring'!Q:Q,
'[1]Transaction Monitoring'!B:B,
A38
),
1
)</f>
        <v>1</v>
      </c>
      <c r="O38">
        <f t="shared" si="0"/>
        <v>13</v>
      </c>
      <c r="P38" t="str" cm="1">
        <f t="array" ref="P38">_xlfn.IFS(
O38&lt;=12,"Low",
O38&lt;=20,"Medium",
O38&lt;=30,"High",
TRUE,"Very High"
)</f>
        <v>Medium</v>
      </c>
      <c r="Q38" t="str" cm="1">
        <f t="array" ref="Q38">_xlfn.IFS(
G38="Reject","EDD",
R38="Potential Match","EDD",
G38="EDD Review","EDD",
AND(S38="Yes",I38&gt;=4),"EDD",
T38="No","EDD",
TRUE,
_xlfn.XLOOKUP(
P38,
tblDueDiligence[Risk Rating],
tblDueDiligence[Due Diligence]
)
)</f>
        <v>CDD</v>
      </c>
      <c r="R38" t="str">
        <f>IFERROR(
_xlfn.XLOOKUP($A38,
tblScreening[Customer ID],
tblScreening[Sanction Match]),
"")</f>
        <v>No Match</v>
      </c>
      <c r="S38" t="str">
        <f>IFERROR(
_xlfn.XLOOKUP($A38,
tblScreening[Customer ID],
tblScreening[PEP]),
"")</f>
        <v>No</v>
      </c>
      <c r="T38" t="str">
        <f>IFERROR(
_xlfn.XLOOKUP($A38,
tblScreening[Customer ID],
tblScreening[Source of Wealth Obtained]),
"")</f>
        <v>Yes</v>
      </c>
      <c r="U38" t="str" cm="1">
        <f t="array" ref="U38">_xlfn.IFS(
G38="Reject","Screening Rejected",
R38="Potential Match","Potential Sanctions Match",
AND(S38="Yes",I38&gt;=4),"PEP in High-Risk Country",
T38="No","Missing Source of Wealth",
G38="EDD Review","EDD Review Required",
TRUE,"None"
)</f>
        <v>None</v>
      </c>
      <c r="V38" t="str" cm="1">
        <f t="array" ref="V38">_xlfn.IFS(
G38="Reject","Reject",
R38="Potential Match","Reject",
G38="EDD Review","Escalate",
AND(S38="Yes",I38&gt;=4),"Escalate",
T38="No","Escalate",
TRUE,
_xlfn.XLOOKUP(
Q38,
tblDecision[Due Diligence],
tblDecision[Decision]
)
)</f>
        <v>Approve</v>
      </c>
    </row>
    <row r="39" spans="1:22" x14ac:dyDescent="0.25">
      <c r="A39" t="s">
        <v>120</v>
      </c>
      <c r="B39" t="str">
        <f>IFERROR(_xlfn.XLOOKUP($A39,tblCustomers[Customer ID],tblCustomers[Customer Type]),"")</f>
        <v>Individual</v>
      </c>
      <c r="C39" t="str">
        <f>IFERROR(_xlfn.XLOOKUP($A39,tblCustomers[Customer ID],tblCustomers[Country]),"")</f>
        <v>UAE</v>
      </c>
      <c r="D39" t="str">
        <f>IFERROR(_xlfn.XLOOKUP($A39,tblCustomers[Customer ID],tblCustomers[Occupation/Industry]),"")</f>
        <v>Farmer</v>
      </c>
      <c r="E39" t="str">
        <f>IFERROR(_xlfn.XLOOKUP($A39,tblCustomers[Customer ID],tblCustomers[Product Requested]),"")</f>
        <v>Investment</v>
      </c>
      <c r="F39" t="str">
        <f>IFERROR(_xlfn.XLOOKUP($A39,tblCustomers[Customer ID],tblCustomers[Delivery Channel]),"")</f>
        <v>Branch</v>
      </c>
      <c r="G39" t="str">
        <f>IFERROR(_xlfn.XLOOKUP($A39,tblScreening[Customer ID],tblScreening[Screening Result]),"")</f>
        <v>Reject</v>
      </c>
      <c r="H39">
        <f>IFERROR(_xlfn.XLOOKUP(B39,tblCustomerType[Customer Type],tblCustomerType[Risk Score]),0)</f>
        <v>2</v>
      </c>
      <c r="I39">
        <f>IFERROR(_xlfn.XLOOKUP(C39,tblCountryRisk[Country],tblCountryRisk[Risk Score]),0)</f>
        <v>3</v>
      </c>
      <c r="J39">
        <f>IFERROR(_xlfn.XLOOKUP(D39,tblOccupationRisk[Occupation],tblOccupationRisk[Risk Score]),0)</f>
        <v>1</v>
      </c>
      <c r="K39">
        <f>IFERROR(_xlfn.XLOOKUP(E39,tblProductRisk[Product],tblProductRisk[Risk Score]),0)</f>
        <v>3</v>
      </c>
      <c r="L39">
        <f>IFERROR(_xlfn.XLOOKUP(F39,tblChannelRisk[Channel],tblChannelRisk[Risk Score]),0)</f>
        <v>1</v>
      </c>
      <c r="M39">
        <f>IFERROR(_xlfn.XLOOKUP(G39,tblScreeningRisk[Screening Result],tblScreeningRisk[Risk Score]),0)</f>
        <v>10</v>
      </c>
      <c r="N39">
        <f>IFERROR(
_xlfn.MAXIFS(
'[1]Transaction Monitoring'!Q:Q,
'[1]Transaction Monitoring'!B:B,
A39
),
1
)</f>
        <v>1</v>
      </c>
      <c r="O39">
        <f t="shared" si="0"/>
        <v>21</v>
      </c>
      <c r="P39" t="str" cm="1">
        <f t="array" ref="P39">_xlfn.IFS(
O39&lt;=12,"Low",
O39&lt;=20,"Medium",
O39&lt;=30,"High",
TRUE,"Very High"
)</f>
        <v>High</v>
      </c>
      <c r="Q39" t="str" cm="1">
        <f t="array" ref="Q39">_xlfn.IFS(
G39="Reject","EDD",
R39="Potential Match","EDD",
G39="EDD Review","EDD",
AND(S39="Yes",I39&gt;=4),"EDD",
T39="No","EDD",
TRUE,
_xlfn.XLOOKUP(
P39,
tblDueDiligence[Risk Rating],
tblDueDiligence[Due Diligence]
)
)</f>
        <v>EDD</v>
      </c>
      <c r="R39" t="str">
        <f>IFERROR(
_xlfn.XLOOKUP($A39,
tblScreening[Customer ID],
tblScreening[Sanction Match]),
"")</f>
        <v>Potential Match</v>
      </c>
      <c r="S39" t="str">
        <f>IFERROR(
_xlfn.XLOOKUP($A39,
tblScreening[Customer ID],
tblScreening[PEP]),
"")</f>
        <v>No</v>
      </c>
      <c r="T39" t="str">
        <f>IFERROR(
_xlfn.XLOOKUP($A39,
tblScreening[Customer ID],
tblScreening[Source of Wealth Obtained]),
"")</f>
        <v>Yes</v>
      </c>
      <c r="U39" t="str" cm="1">
        <f t="array" ref="U39">_xlfn.IFS(
G39="Reject","Screening Rejected",
R39="Potential Match","Potential Sanctions Match",
AND(S39="Yes",I39&gt;=4),"PEP in High-Risk Country",
T39="No","Missing Source of Wealth",
G39="EDD Review","EDD Review Required",
TRUE,"None"
)</f>
        <v>Screening Rejected</v>
      </c>
      <c r="V39" t="str" cm="1">
        <f t="array" ref="V39">_xlfn.IFS(
G39="Reject","Reject",
R39="Potential Match","Reject",
G39="EDD Review","Escalate",
AND(S39="Yes",I39&gt;=4),"Escalate",
T39="No","Escalate",
TRUE,
_xlfn.XLOOKUP(
Q39,
tblDecision[Due Diligence],
tblDecision[Decision]
)
)</f>
        <v>Reject</v>
      </c>
    </row>
    <row r="40" spans="1:22" x14ac:dyDescent="0.25">
      <c r="A40" t="s">
        <v>123</v>
      </c>
      <c r="B40" t="str">
        <f>IFERROR(_xlfn.XLOOKUP($A40,tblCustomers[Customer ID],tblCustomers[Customer Type]),"")</f>
        <v>Individual</v>
      </c>
      <c r="C40" t="str">
        <f>IFERROR(_xlfn.XLOOKUP($A40,tblCustomers[Customer ID],tblCustomers[Country]),"")</f>
        <v>United States</v>
      </c>
      <c r="D40" t="str">
        <f>IFERROR(_xlfn.XLOOKUP($A40,tblCustomers[Customer ID],tblCustomers[Occupation/Industry]),"")</f>
        <v>Trader</v>
      </c>
      <c r="E40" t="str">
        <f>IFERROR(_xlfn.XLOOKUP($A40,tblCustomers[Customer ID],tblCustomers[Product Requested]),"")</f>
        <v>Trade Finance</v>
      </c>
      <c r="F40" t="str">
        <f>IFERROR(_xlfn.XLOOKUP($A40,tblCustomers[Customer ID],tblCustomers[Delivery Channel]),"")</f>
        <v>Mobile App</v>
      </c>
      <c r="G40" t="str">
        <f>IFERROR(_xlfn.XLOOKUP($A40,tblScreening[Customer ID],tblScreening[Screening Result]),"")</f>
        <v>Clear</v>
      </c>
      <c r="H40">
        <f>IFERROR(_xlfn.XLOOKUP(B40,tblCustomerType[Customer Type],tblCustomerType[Risk Score]),0)</f>
        <v>2</v>
      </c>
      <c r="I40">
        <f>IFERROR(_xlfn.XLOOKUP(C40,tblCountryRisk[Country],tblCountryRisk[Risk Score]),0)</f>
        <v>1</v>
      </c>
      <c r="J40">
        <f>IFERROR(_xlfn.XLOOKUP(D40,tblOccupationRisk[Occupation],tblOccupationRisk[Risk Score]),0)</f>
        <v>3</v>
      </c>
      <c r="K40">
        <f>IFERROR(_xlfn.XLOOKUP(E40,tblProductRisk[Product],tblProductRisk[Risk Score]),0)</f>
        <v>4</v>
      </c>
      <c r="L40">
        <f>IFERROR(_xlfn.XLOOKUP(F40,tblChannelRisk[Channel],tblChannelRisk[Risk Score]),0)</f>
        <v>3</v>
      </c>
      <c r="M40">
        <f>IFERROR(_xlfn.XLOOKUP(G40,tblScreeningRisk[Screening Result],tblScreeningRisk[Risk Score]),0)</f>
        <v>1</v>
      </c>
      <c r="N40">
        <f>IFERROR(
_xlfn.MAXIFS(
'[1]Transaction Monitoring'!Q:Q,
'[1]Transaction Monitoring'!B:B,
A40
),
1
)</f>
        <v>1</v>
      </c>
      <c r="O40">
        <f t="shared" si="0"/>
        <v>15</v>
      </c>
      <c r="P40" t="str" cm="1">
        <f t="array" ref="P40">_xlfn.IFS(
O40&lt;=12,"Low",
O40&lt;=20,"Medium",
O40&lt;=30,"High",
TRUE,"Very High"
)</f>
        <v>Medium</v>
      </c>
      <c r="Q40" t="str" cm="1">
        <f t="array" ref="Q40">_xlfn.IFS(
G40="Reject","EDD",
R40="Potential Match","EDD",
G40="EDD Review","EDD",
AND(S40="Yes",I40&gt;=4),"EDD",
T40="No","EDD",
TRUE,
_xlfn.XLOOKUP(
P40,
tblDueDiligence[Risk Rating],
tblDueDiligence[Due Diligence]
)
)</f>
        <v>CDD</v>
      </c>
      <c r="R40" t="str">
        <f>IFERROR(
_xlfn.XLOOKUP($A40,
tblScreening[Customer ID],
tblScreening[Sanction Match]),
"")</f>
        <v>No Match</v>
      </c>
      <c r="S40" t="str">
        <f>IFERROR(
_xlfn.XLOOKUP($A40,
tblScreening[Customer ID],
tblScreening[PEP]),
"")</f>
        <v>No</v>
      </c>
      <c r="T40" t="str">
        <f>IFERROR(
_xlfn.XLOOKUP($A40,
tblScreening[Customer ID],
tblScreening[Source of Wealth Obtained]),
"")</f>
        <v>Yes</v>
      </c>
      <c r="U40" t="str" cm="1">
        <f t="array" ref="U40">_xlfn.IFS(
G40="Reject","Screening Rejected",
R40="Potential Match","Potential Sanctions Match",
AND(S40="Yes",I40&gt;=4),"PEP in High-Risk Country",
T40="No","Missing Source of Wealth",
G40="EDD Review","EDD Review Required",
TRUE,"None"
)</f>
        <v>None</v>
      </c>
      <c r="V40" t="str" cm="1">
        <f t="array" ref="V40">_xlfn.IFS(
G40="Reject","Reject",
R40="Potential Match","Reject",
G40="EDD Review","Escalate",
AND(S40="Yes",I40&gt;=4),"Escalate",
T40="No","Escalate",
TRUE,
_xlfn.XLOOKUP(
Q40,
tblDecision[Due Diligence],
tblDecision[Decision]
)
)</f>
        <v>Approve</v>
      </c>
    </row>
    <row r="41" spans="1:22" x14ac:dyDescent="0.25">
      <c r="A41" t="s">
        <v>125</v>
      </c>
      <c r="B41" t="str">
        <f>IFERROR(_xlfn.XLOOKUP($A41,tblCustomers[Customer ID],tblCustomers[Customer Type]),"")</f>
        <v>Individual</v>
      </c>
      <c r="C41" t="str">
        <f>IFERROR(_xlfn.XLOOKUP($A41,tblCustomers[Customer ID],tblCustomers[Country]),"")</f>
        <v>UAE</v>
      </c>
      <c r="D41" t="str">
        <f>IFERROR(_xlfn.XLOOKUP($A41,tblCustomers[Customer ID],tblCustomers[Occupation/Industry]),"")</f>
        <v>Civil Servant</v>
      </c>
      <c r="E41" t="str">
        <f>IFERROR(_xlfn.XLOOKUP($A41,tblCustomers[Customer ID],tblCustomers[Product Requested]),"")</f>
        <v>Trade Finance</v>
      </c>
      <c r="F41" t="str">
        <f>IFERROR(_xlfn.XLOOKUP($A41,tblCustomers[Customer ID],tblCustomers[Delivery Channel]),"")</f>
        <v>Online</v>
      </c>
      <c r="G41" t="str">
        <f>IFERROR(_xlfn.XLOOKUP($A41,tblScreening[Customer ID],tblScreening[Screening Result]),"")</f>
        <v>Clear</v>
      </c>
      <c r="H41">
        <f>IFERROR(_xlfn.XLOOKUP(B41,tblCustomerType[Customer Type],tblCustomerType[Risk Score]),0)</f>
        <v>2</v>
      </c>
      <c r="I41">
        <f>IFERROR(_xlfn.XLOOKUP(C41,tblCountryRisk[Country],tblCountryRisk[Risk Score]),0)</f>
        <v>3</v>
      </c>
      <c r="J41">
        <f>IFERROR(_xlfn.XLOOKUP(D41,tblOccupationRisk[Occupation],tblOccupationRisk[Risk Score]),0)</f>
        <v>1</v>
      </c>
      <c r="K41">
        <f>IFERROR(_xlfn.XLOOKUP(E41,tblProductRisk[Product],tblProductRisk[Risk Score]),0)</f>
        <v>4</v>
      </c>
      <c r="L41">
        <f>IFERROR(_xlfn.XLOOKUP(F41,tblChannelRisk[Channel],tblChannelRisk[Risk Score]),0)</f>
        <v>3</v>
      </c>
      <c r="M41">
        <f>IFERROR(_xlfn.XLOOKUP(G41,tblScreeningRisk[Screening Result],tblScreeningRisk[Risk Score]),0)</f>
        <v>1</v>
      </c>
      <c r="N41">
        <f>IFERROR(
_xlfn.MAXIFS(
'[1]Transaction Monitoring'!Q:Q,
'[1]Transaction Monitoring'!B:B,
A41
),
1
)</f>
        <v>1</v>
      </c>
      <c r="O41">
        <f t="shared" si="0"/>
        <v>15</v>
      </c>
      <c r="P41" t="str" cm="1">
        <f t="array" ref="P41">_xlfn.IFS(
O41&lt;=12,"Low",
O41&lt;=20,"Medium",
O41&lt;=30,"High",
TRUE,"Very High"
)</f>
        <v>Medium</v>
      </c>
      <c r="Q41" t="str" cm="1">
        <f t="array" ref="Q41">_xlfn.IFS(
G41="Reject","EDD",
R41="Potential Match","EDD",
G41="EDD Review","EDD",
AND(S41="Yes",I41&gt;=4),"EDD",
T41="No","EDD",
TRUE,
_xlfn.XLOOKUP(
P41,
tblDueDiligence[Risk Rating],
tblDueDiligence[Due Diligence]
)
)</f>
        <v>CDD</v>
      </c>
      <c r="R41" t="str">
        <f>IFERROR(
_xlfn.XLOOKUP($A41,
tblScreening[Customer ID],
tblScreening[Sanction Match]),
"")</f>
        <v>No Match</v>
      </c>
      <c r="S41" t="str">
        <f>IFERROR(
_xlfn.XLOOKUP($A41,
tblScreening[Customer ID],
tblScreening[PEP]),
"")</f>
        <v>No</v>
      </c>
      <c r="T41" t="str">
        <f>IFERROR(
_xlfn.XLOOKUP($A41,
tblScreening[Customer ID],
tblScreening[Source of Wealth Obtained]),
"")</f>
        <v>Yes</v>
      </c>
      <c r="U41" t="str" cm="1">
        <f t="array" ref="U41">_xlfn.IFS(
G41="Reject","Screening Rejected",
R41="Potential Match","Potential Sanctions Match",
AND(S41="Yes",I41&gt;=4),"PEP in High-Risk Country",
T41="No","Missing Source of Wealth",
G41="EDD Review","EDD Review Required",
TRUE,"None"
)</f>
        <v>None</v>
      </c>
      <c r="V41" t="str" cm="1">
        <f t="array" ref="V41">_xlfn.IFS(
G41="Reject","Reject",
R41="Potential Match","Reject",
G41="EDD Review","Escalate",
AND(S41="Yes",I41&gt;=4),"Escalate",
T41="No","Escalate",
TRUE,
_xlfn.XLOOKUP(
Q41,
tblDecision[Due Diligence],
tblDecision[Decision]
)
)</f>
        <v>Approve</v>
      </c>
    </row>
    <row r="42" spans="1:22" x14ac:dyDescent="0.25">
      <c r="A42" t="s">
        <v>128</v>
      </c>
      <c r="B42" t="str">
        <f>IFERROR(_xlfn.XLOOKUP($A42,tblCustomers[Customer ID],tblCustomers[Customer Type]),"")</f>
        <v>Individual</v>
      </c>
      <c r="C42" t="str">
        <f>IFERROR(_xlfn.XLOOKUP($A42,tblCustomers[Customer ID],tblCustomers[Country]),"")</f>
        <v>United States</v>
      </c>
      <c r="D42" t="str">
        <f>IFERROR(_xlfn.XLOOKUP($A42,tblCustomers[Customer ID],tblCustomers[Occupation/Industry]),"")</f>
        <v>Lawyer</v>
      </c>
      <c r="E42" t="str">
        <f>IFERROR(_xlfn.XLOOKUP($A42,tblCustomers[Customer ID],tblCustomers[Product Requested]),"")</f>
        <v>Savings</v>
      </c>
      <c r="F42" t="str">
        <f>IFERROR(_xlfn.XLOOKUP($A42,tblCustomers[Customer ID],tblCustomers[Delivery Channel]),"")</f>
        <v>Relationship Manager</v>
      </c>
      <c r="G42" t="str">
        <f>IFERROR(_xlfn.XLOOKUP($A42,tblScreening[Customer ID],tblScreening[Screening Result]),"")</f>
        <v>EDD Review</v>
      </c>
      <c r="H42">
        <f>IFERROR(_xlfn.XLOOKUP(B42,tblCustomerType[Customer Type],tblCustomerType[Risk Score]),0)</f>
        <v>2</v>
      </c>
      <c r="I42">
        <f>IFERROR(_xlfn.XLOOKUP(C42,tblCountryRisk[Country],tblCountryRisk[Risk Score]),0)</f>
        <v>1</v>
      </c>
      <c r="J42">
        <f>IFERROR(_xlfn.XLOOKUP(D42,tblOccupationRisk[Occupation],tblOccupationRisk[Risk Score]),0)</f>
        <v>2</v>
      </c>
      <c r="K42">
        <f>IFERROR(_xlfn.XLOOKUP(E42,tblProductRisk[Product],tblProductRisk[Risk Score]),0)</f>
        <v>1</v>
      </c>
      <c r="L42">
        <f>IFERROR(_xlfn.XLOOKUP(F42,tblChannelRisk[Channel],tblChannelRisk[Risk Score]),0)</f>
        <v>2</v>
      </c>
      <c r="M42">
        <f>IFERROR(_xlfn.XLOOKUP(G42,tblScreeningRisk[Screening Result],tblScreeningRisk[Risk Score]),0)</f>
        <v>5</v>
      </c>
      <c r="N42">
        <f>IFERROR(
_xlfn.MAXIFS(
'[1]Transaction Monitoring'!Q:Q,
'[1]Transaction Monitoring'!B:B,
A42
),
1
)</f>
        <v>1</v>
      </c>
      <c r="O42">
        <f t="shared" si="0"/>
        <v>14</v>
      </c>
      <c r="P42" t="str" cm="1">
        <f t="array" ref="P42">_xlfn.IFS(
O42&lt;=12,"Low",
O42&lt;=20,"Medium",
O42&lt;=30,"High",
TRUE,"Very High"
)</f>
        <v>Medium</v>
      </c>
      <c r="Q42" t="str" cm="1">
        <f t="array" ref="Q42">_xlfn.IFS(
G42="Reject","EDD",
R42="Potential Match","EDD",
G42="EDD Review","EDD",
AND(S42="Yes",I42&gt;=4),"EDD",
T42="No","EDD",
TRUE,
_xlfn.XLOOKUP(
P42,
tblDueDiligence[Risk Rating],
tblDueDiligence[Due Diligence]
)
)</f>
        <v>EDD</v>
      </c>
      <c r="R42" t="str">
        <f>IFERROR(
_xlfn.XLOOKUP($A42,
tblScreening[Customer ID],
tblScreening[Sanction Match]),
"")</f>
        <v>No Match</v>
      </c>
      <c r="S42" t="str">
        <f>IFERROR(
_xlfn.XLOOKUP($A42,
tblScreening[Customer ID],
tblScreening[PEP]),
"")</f>
        <v>Yes</v>
      </c>
      <c r="T42" t="str">
        <f>IFERROR(
_xlfn.XLOOKUP($A42,
tblScreening[Customer ID],
tblScreening[Source of Wealth Obtained]),
"")</f>
        <v>Yes</v>
      </c>
      <c r="U42" t="str" cm="1">
        <f t="array" ref="U42">_xlfn.IFS(
G42="Reject","Screening Rejected",
R42="Potential Match","Potential Sanctions Match",
AND(S42="Yes",I42&gt;=4),"PEP in High-Risk Country",
T42="No","Missing Source of Wealth",
G42="EDD Review","EDD Review Required",
TRUE,"None"
)</f>
        <v>EDD Review Required</v>
      </c>
      <c r="V42" t="str" cm="1">
        <f t="array" ref="V42">_xlfn.IFS(
G42="Reject","Reject",
R42="Potential Match","Reject",
G42="EDD Review","Escalate",
AND(S42="Yes",I42&gt;=4),"Escalate",
T42="No","Escalate",
TRUE,
_xlfn.XLOOKUP(
Q42,
tblDecision[Due Diligence],
tblDecision[Decision]
)
)</f>
        <v>Escalate</v>
      </c>
    </row>
    <row r="43" spans="1:22" x14ac:dyDescent="0.25">
      <c r="A43" t="s">
        <v>130</v>
      </c>
      <c r="B43" t="str">
        <f>IFERROR(_xlfn.XLOOKUP($A43,tblCustomers[Customer ID],tblCustomers[Customer Type]),"")</f>
        <v>Individual</v>
      </c>
      <c r="C43" t="str">
        <f>IFERROR(_xlfn.XLOOKUP($A43,tblCustomers[Customer ID],tblCustomers[Country]),"")</f>
        <v>Kenya</v>
      </c>
      <c r="D43" t="str">
        <f>IFERROR(_xlfn.XLOOKUP($A43,tblCustomers[Customer ID],tblCustomers[Occupation/Industry]),"")</f>
        <v>Graphic Designer</v>
      </c>
      <c r="E43" t="str">
        <f>IFERROR(_xlfn.XLOOKUP($A43,tblCustomers[Customer ID],tblCustomers[Product Requested]),"")</f>
        <v>Corporate Account</v>
      </c>
      <c r="F43" t="str">
        <f>IFERROR(_xlfn.XLOOKUP($A43,tblCustomers[Customer ID],tblCustomers[Delivery Channel]),"")</f>
        <v>Online</v>
      </c>
      <c r="G43" t="str">
        <f>IFERROR(_xlfn.XLOOKUP($A43,tblScreening[Customer ID],tblScreening[Screening Result]),"")</f>
        <v>Reject</v>
      </c>
      <c r="H43">
        <f>IFERROR(_xlfn.XLOOKUP(B43,tblCustomerType[Customer Type],tblCustomerType[Risk Score]),0)</f>
        <v>2</v>
      </c>
      <c r="I43">
        <f>IFERROR(_xlfn.XLOOKUP(C43,tblCountryRisk[Country],tblCountryRisk[Risk Score]),0)</f>
        <v>2</v>
      </c>
      <c r="J43">
        <f>IFERROR(_xlfn.XLOOKUP(D43,tblOccupationRisk[Occupation],tblOccupationRisk[Risk Score]),0)</f>
        <v>1</v>
      </c>
      <c r="K43">
        <f>IFERROR(_xlfn.XLOOKUP(E43,tblProductRisk[Product],tblProductRisk[Risk Score]),0)</f>
        <v>3</v>
      </c>
      <c r="L43">
        <f>IFERROR(_xlfn.XLOOKUP(F43,tblChannelRisk[Channel],tblChannelRisk[Risk Score]),0)</f>
        <v>3</v>
      </c>
      <c r="M43">
        <f>IFERROR(_xlfn.XLOOKUP(G43,tblScreeningRisk[Screening Result],tblScreeningRisk[Risk Score]),0)</f>
        <v>10</v>
      </c>
      <c r="N43">
        <f>IFERROR(
_xlfn.MAXIFS(
'[1]Transaction Monitoring'!Q:Q,
'[1]Transaction Monitoring'!B:B,
A43
),
1
)</f>
        <v>1</v>
      </c>
      <c r="O43">
        <f t="shared" si="0"/>
        <v>22</v>
      </c>
      <c r="P43" t="str" cm="1">
        <f t="array" ref="P43">_xlfn.IFS(
O43&lt;=12,"Low",
O43&lt;=20,"Medium",
O43&lt;=30,"High",
TRUE,"Very High"
)</f>
        <v>High</v>
      </c>
      <c r="Q43" t="str" cm="1">
        <f t="array" ref="Q43">_xlfn.IFS(
G43="Reject","EDD",
R43="Potential Match","EDD",
G43="EDD Review","EDD",
AND(S43="Yes",I43&gt;=4),"EDD",
T43="No","EDD",
TRUE,
_xlfn.XLOOKUP(
P43,
tblDueDiligence[Risk Rating],
tblDueDiligence[Due Diligence]
)
)</f>
        <v>EDD</v>
      </c>
      <c r="R43" t="str">
        <f>IFERROR(
_xlfn.XLOOKUP($A43,
tblScreening[Customer ID],
tblScreening[Sanction Match]),
"")</f>
        <v>Potential Match</v>
      </c>
      <c r="S43" t="str">
        <f>IFERROR(
_xlfn.XLOOKUP($A43,
tblScreening[Customer ID],
tblScreening[PEP]),
"")</f>
        <v>Yes</v>
      </c>
      <c r="T43" t="str">
        <f>IFERROR(
_xlfn.XLOOKUP($A43,
tblScreening[Customer ID],
tblScreening[Source of Wealth Obtained]),
"")</f>
        <v>Yes</v>
      </c>
      <c r="U43" t="str" cm="1">
        <f t="array" ref="U43">_xlfn.IFS(
G43="Reject","Screening Rejected",
R43="Potential Match","Potential Sanctions Match",
AND(S43="Yes",I43&gt;=4),"PEP in High-Risk Country",
T43="No","Missing Source of Wealth",
G43="EDD Review","EDD Review Required",
TRUE,"None"
)</f>
        <v>Screening Rejected</v>
      </c>
      <c r="V43" t="str" cm="1">
        <f t="array" ref="V43">_xlfn.IFS(
G43="Reject","Reject",
R43="Potential Match","Reject",
G43="EDD Review","Escalate",
AND(S43="Yes",I43&gt;=4),"Escalate",
T43="No","Escalate",
TRUE,
_xlfn.XLOOKUP(
Q43,
tblDecision[Due Diligence],
tblDecision[Decision]
)
)</f>
        <v>Reject</v>
      </c>
    </row>
    <row r="44" spans="1:22" x14ac:dyDescent="0.25">
      <c r="A44" t="s">
        <v>132</v>
      </c>
      <c r="B44" t="str">
        <f>IFERROR(_xlfn.XLOOKUP($A44,tblCustomers[Customer ID],tblCustomers[Customer Type]),"")</f>
        <v>Individual</v>
      </c>
      <c r="C44" t="str">
        <f>IFERROR(_xlfn.XLOOKUP($A44,tblCustomers[Customer ID],tblCustomers[Country]),"")</f>
        <v>Ghana</v>
      </c>
      <c r="D44" t="str">
        <f>IFERROR(_xlfn.XLOOKUP($A44,tblCustomers[Customer ID],tblCustomers[Occupation/Industry]),"")</f>
        <v>Data Analyst</v>
      </c>
      <c r="E44" t="str">
        <f>IFERROR(_xlfn.XLOOKUP($A44,tblCustomers[Customer ID],tblCustomers[Product Requested]),"")</f>
        <v>Corporate Account</v>
      </c>
      <c r="F44" t="str">
        <f>IFERROR(_xlfn.XLOOKUP($A44,tblCustomers[Customer ID],tblCustomers[Delivery Channel]),"")</f>
        <v>Online</v>
      </c>
      <c r="G44" t="str">
        <f>IFERROR(_xlfn.XLOOKUP($A44,tblScreening[Customer ID],tblScreening[Screening Result]),"")</f>
        <v>Review</v>
      </c>
      <c r="H44">
        <f>IFERROR(_xlfn.XLOOKUP(B44,tblCustomerType[Customer Type],tblCustomerType[Risk Score]),0)</f>
        <v>2</v>
      </c>
      <c r="I44">
        <f>IFERROR(_xlfn.XLOOKUP(C44,tblCountryRisk[Country],tblCountryRisk[Risk Score]),0)</f>
        <v>2</v>
      </c>
      <c r="J44">
        <f>IFERROR(_xlfn.XLOOKUP(D44,tblOccupationRisk[Occupation],tblOccupationRisk[Risk Score]),0)</f>
        <v>1</v>
      </c>
      <c r="K44">
        <f>IFERROR(_xlfn.XLOOKUP(E44,tblProductRisk[Product],tblProductRisk[Risk Score]),0)</f>
        <v>3</v>
      </c>
      <c r="L44">
        <f>IFERROR(_xlfn.XLOOKUP(F44,tblChannelRisk[Channel],tblChannelRisk[Risk Score]),0)</f>
        <v>3</v>
      </c>
      <c r="M44">
        <f>IFERROR(_xlfn.XLOOKUP(G44,tblScreeningRisk[Screening Result],tblScreeningRisk[Risk Score]),0)</f>
        <v>3</v>
      </c>
      <c r="N44">
        <f>IFERROR(
_xlfn.MAXIFS(
'[1]Transaction Monitoring'!Q:Q,
'[1]Transaction Monitoring'!B:B,
A44
),
1
)</f>
        <v>1</v>
      </c>
      <c r="O44">
        <f t="shared" si="0"/>
        <v>15</v>
      </c>
      <c r="P44" t="str" cm="1">
        <f t="array" ref="P44">_xlfn.IFS(
O44&lt;=12,"Low",
O44&lt;=20,"Medium",
O44&lt;=30,"High",
TRUE,"Very High"
)</f>
        <v>Medium</v>
      </c>
      <c r="Q44" t="str" cm="1">
        <f t="array" ref="Q44">_xlfn.IFS(
G44="Reject","EDD",
R44="Potential Match","EDD",
G44="EDD Review","EDD",
AND(S44="Yes",I44&gt;=4),"EDD",
T44="No","EDD",
TRUE,
_xlfn.XLOOKUP(
P44,
tblDueDiligence[Risk Rating],
tblDueDiligence[Due Diligence]
)
)</f>
        <v>CDD</v>
      </c>
      <c r="R44" t="str">
        <f>IFERROR(
_xlfn.XLOOKUP($A44,
tblScreening[Customer ID],
tblScreening[Sanction Match]),
"")</f>
        <v>No Match</v>
      </c>
      <c r="S44" t="str">
        <f>IFERROR(
_xlfn.XLOOKUP($A44,
tblScreening[Customer ID],
tblScreening[PEP]),
"")</f>
        <v>No</v>
      </c>
      <c r="T44" t="str">
        <f>IFERROR(
_xlfn.XLOOKUP($A44,
tblScreening[Customer ID],
tblScreening[Source of Wealth Obtained]),
"")</f>
        <v>Yes</v>
      </c>
      <c r="U44" t="str" cm="1">
        <f t="array" ref="U44">_xlfn.IFS(
G44="Reject","Screening Rejected",
R44="Potential Match","Potential Sanctions Match",
AND(S44="Yes",I44&gt;=4),"PEP in High-Risk Country",
T44="No","Missing Source of Wealth",
G44="EDD Review","EDD Review Required",
TRUE,"None"
)</f>
        <v>None</v>
      </c>
      <c r="V44" t="str" cm="1">
        <f t="array" ref="V44">_xlfn.IFS(
G44="Reject","Reject",
R44="Potential Match","Reject",
G44="EDD Review","Escalate",
AND(S44="Yes",I44&gt;=4),"Escalate",
T44="No","Escalate",
TRUE,
_xlfn.XLOOKUP(
Q44,
tblDecision[Due Diligence],
tblDecision[Decision]
)
)</f>
        <v>Approve</v>
      </c>
    </row>
    <row r="45" spans="1:22" x14ac:dyDescent="0.25">
      <c r="A45" t="s">
        <v>134</v>
      </c>
      <c r="B45" t="str">
        <f>IFERROR(_xlfn.XLOOKUP($A45,tblCustomers[Customer ID],tblCustomers[Customer Type]),"")</f>
        <v>Individual</v>
      </c>
      <c r="C45" t="str">
        <f>IFERROR(_xlfn.XLOOKUP($A45,tblCustomers[Customer ID],tblCustomers[Country]),"")</f>
        <v>Nigeria</v>
      </c>
      <c r="D45" t="str">
        <f>IFERROR(_xlfn.XLOOKUP($A45,tblCustomers[Customer ID],tblCustomers[Occupation/Industry]),"")</f>
        <v>Teacher</v>
      </c>
      <c r="E45" t="str">
        <f>IFERROR(_xlfn.XLOOKUP($A45,tblCustomers[Customer ID],tblCustomers[Product Requested]),"")</f>
        <v>Fixed Deposit</v>
      </c>
      <c r="F45" t="str">
        <f>IFERROR(_xlfn.XLOOKUP($A45,tblCustomers[Customer ID],tblCustomers[Delivery Channel]),"")</f>
        <v>Branch</v>
      </c>
      <c r="G45" t="str">
        <f>IFERROR(_xlfn.XLOOKUP($A45,tblScreening[Customer ID],tblScreening[Screening Result]),"")</f>
        <v>Clear</v>
      </c>
      <c r="H45">
        <f>IFERROR(_xlfn.XLOOKUP(B45,tblCustomerType[Customer Type],tblCustomerType[Risk Score]),0)</f>
        <v>2</v>
      </c>
      <c r="I45">
        <f>IFERROR(_xlfn.XLOOKUP(C45,tblCountryRisk[Country],tblCountryRisk[Risk Score]),0)</f>
        <v>2</v>
      </c>
      <c r="J45">
        <f>IFERROR(_xlfn.XLOOKUP(D45,tblOccupationRisk[Occupation],tblOccupationRisk[Risk Score]),0)</f>
        <v>1</v>
      </c>
      <c r="K45">
        <f>IFERROR(_xlfn.XLOOKUP(E45,tblProductRisk[Product],tblProductRisk[Risk Score]),0)</f>
        <v>2</v>
      </c>
      <c r="L45">
        <f>IFERROR(_xlfn.XLOOKUP(F45,tblChannelRisk[Channel],tblChannelRisk[Risk Score]),0)</f>
        <v>1</v>
      </c>
      <c r="M45">
        <f>IFERROR(_xlfn.XLOOKUP(G45,tblScreeningRisk[Screening Result],tblScreeningRisk[Risk Score]),0)</f>
        <v>1</v>
      </c>
      <c r="N45">
        <f>IFERROR(
_xlfn.MAXIFS(
'[1]Transaction Monitoring'!Q:Q,
'[1]Transaction Monitoring'!B:B,
A45
),
1
)</f>
        <v>1</v>
      </c>
      <c r="O45">
        <f t="shared" si="0"/>
        <v>10</v>
      </c>
      <c r="P45" t="str" cm="1">
        <f t="array" ref="P45">_xlfn.IFS(
O45&lt;=12,"Low",
O45&lt;=20,"Medium",
O45&lt;=30,"High",
TRUE,"Very High"
)</f>
        <v>Low</v>
      </c>
      <c r="Q45" t="str" cm="1">
        <f t="array" ref="Q45">_xlfn.IFS(
G45="Reject","EDD",
R45="Potential Match","EDD",
G45="EDD Review","EDD",
AND(S45="Yes",I45&gt;=4),"EDD",
T45="No","EDD",
TRUE,
_xlfn.XLOOKUP(
P45,
tblDueDiligence[Risk Rating],
tblDueDiligence[Due Diligence]
)
)</f>
        <v>SDD</v>
      </c>
      <c r="R45" t="str">
        <f>IFERROR(
_xlfn.XLOOKUP($A45,
tblScreening[Customer ID],
tblScreening[Sanction Match]),
"")</f>
        <v>No Match</v>
      </c>
      <c r="S45" t="str">
        <f>IFERROR(
_xlfn.XLOOKUP($A45,
tblScreening[Customer ID],
tblScreening[PEP]),
"")</f>
        <v>No</v>
      </c>
      <c r="T45" t="str">
        <f>IFERROR(
_xlfn.XLOOKUP($A45,
tblScreening[Customer ID],
tblScreening[Source of Wealth Obtained]),
"")</f>
        <v>Yes</v>
      </c>
      <c r="U45" t="str" cm="1">
        <f t="array" ref="U45">_xlfn.IFS(
G45="Reject","Screening Rejected",
R45="Potential Match","Potential Sanctions Match",
AND(S45="Yes",I45&gt;=4),"PEP in High-Risk Country",
T45="No","Missing Source of Wealth",
G45="EDD Review","EDD Review Required",
TRUE,"None"
)</f>
        <v>None</v>
      </c>
      <c r="V45" t="str" cm="1">
        <f t="array" ref="V45">_xlfn.IFS(
G45="Reject","Reject",
R45="Potential Match","Reject",
G45="EDD Review","Escalate",
AND(S45="Yes",I45&gt;=4),"Escalate",
T45="No","Escalate",
TRUE,
_xlfn.XLOOKUP(
Q45,
tblDecision[Due Diligence],
tblDecision[Decision]
)
)</f>
        <v>Approve</v>
      </c>
    </row>
    <row r="46" spans="1:22" x14ac:dyDescent="0.25">
      <c r="A46" t="s">
        <v>135</v>
      </c>
      <c r="B46" t="str">
        <f>IFERROR(_xlfn.XLOOKUP($A46,tblCustomers[Customer ID],tblCustomers[Customer Type]),"")</f>
        <v>Individual</v>
      </c>
      <c r="C46" t="str">
        <f>IFERROR(_xlfn.XLOOKUP($A46,tblCustomers[Customer ID],tblCustomers[Country]),"")</f>
        <v>Ghana</v>
      </c>
      <c r="D46" t="str">
        <f>IFERROR(_xlfn.XLOOKUP($A46,tblCustomers[Customer ID],tblCustomers[Occupation/Industry]),"")</f>
        <v>Graphic Designer</v>
      </c>
      <c r="E46" t="str">
        <f>IFERROR(_xlfn.XLOOKUP($A46,tblCustomers[Customer ID],tblCustomers[Product Requested]),"")</f>
        <v>Current</v>
      </c>
      <c r="F46" t="str">
        <f>IFERROR(_xlfn.XLOOKUP($A46,tblCustomers[Customer ID],tblCustomers[Delivery Channel]),"")</f>
        <v>Online</v>
      </c>
      <c r="G46" t="str">
        <f>IFERROR(_xlfn.XLOOKUP($A46,tblScreening[Customer ID],tblScreening[Screening Result]),"")</f>
        <v>Clear</v>
      </c>
      <c r="H46">
        <f>IFERROR(_xlfn.XLOOKUP(B46,tblCustomerType[Customer Type],tblCustomerType[Risk Score]),0)</f>
        <v>2</v>
      </c>
      <c r="I46">
        <f>IFERROR(_xlfn.XLOOKUP(C46,tblCountryRisk[Country],tblCountryRisk[Risk Score]),0)</f>
        <v>2</v>
      </c>
      <c r="J46">
        <f>IFERROR(_xlfn.XLOOKUP(D46,tblOccupationRisk[Occupation],tblOccupationRisk[Risk Score]),0)</f>
        <v>1</v>
      </c>
      <c r="K46">
        <f>IFERROR(_xlfn.XLOOKUP(E46,tblProductRisk[Product],tblProductRisk[Risk Score]),0)</f>
        <v>2</v>
      </c>
      <c r="L46">
        <f>IFERROR(_xlfn.XLOOKUP(F46,tblChannelRisk[Channel],tblChannelRisk[Risk Score]),0)</f>
        <v>3</v>
      </c>
      <c r="M46">
        <f>IFERROR(_xlfn.XLOOKUP(G46,tblScreeningRisk[Screening Result],tblScreeningRisk[Risk Score]),0)</f>
        <v>1</v>
      </c>
      <c r="N46">
        <f>IFERROR(
_xlfn.MAXIFS(
'[1]Transaction Monitoring'!Q:Q,
'[1]Transaction Monitoring'!B:B,
A46
),
1
)</f>
        <v>1</v>
      </c>
      <c r="O46">
        <f t="shared" si="0"/>
        <v>12</v>
      </c>
      <c r="P46" t="str" cm="1">
        <f t="array" ref="P46">_xlfn.IFS(
O46&lt;=12,"Low",
O46&lt;=20,"Medium",
O46&lt;=30,"High",
TRUE,"Very High"
)</f>
        <v>Low</v>
      </c>
      <c r="Q46" t="str" cm="1">
        <f t="array" ref="Q46">_xlfn.IFS(
G46="Reject","EDD",
R46="Potential Match","EDD",
G46="EDD Review","EDD",
AND(S46="Yes",I46&gt;=4),"EDD",
T46="No","EDD",
TRUE,
_xlfn.XLOOKUP(
P46,
tblDueDiligence[Risk Rating],
tblDueDiligence[Due Diligence]
)
)</f>
        <v>SDD</v>
      </c>
      <c r="R46" t="str">
        <f>IFERROR(
_xlfn.XLOOKUP($A46,
tblScreening[Customer ID],
tblScreening[Sanction Match]),
"")</f>
        <v>No Match</v>
      </c>
      <c r="S46" t="str">
        <f>IFERROR(
_xlfn.XLOOKUP($A46,
tblScreening[Customer ID],
tblScreening[PEP]),
"")</f>
        <v>No</v>
      </c>
      <c r="T46" t="str">
        <f>IFERROR(
_xlfn.XLOOKUP($A46,
tblScreening[Customer ID],
tblScreening[Source of Wealth Obtained]),
"")</f>
        <v>Yes</v>
      </c>
      <c r="U46" t="str" cm="1">
        <f t="array" ref="U46">_xlfn.IFS(
G46="Reject","Screening Rejected",
R46="Potential Match","Potential Sanctions Match",
AND(S46="Yes",I46&gt;=4),"PEP in High-Risk Country",
T46="No","Missing Source of Wealth",
G46="EDD Review","EDD Review Required",
TRUE,"None"
)</f>
        <v>None</v>
      </c>
      <c r="V46" t="str" cm="1">
        <f t="array" ref="V46">_xlfn.IFS(
G46="Reject","Reject",
R46="Potential Match","Reject",
G46="EDD Review","Escalate",
AND(S46="Yes",I46&gt;=4),"Escalate",
T46="No","Escalate",
TRUE,
_xlfn.XLOOKUP(
Q46,
tblDecision[Due Diligence],
tblDecision[Decision]
)
)</f>
        <v>Approve</v>
      </c>
    </row>
    <row r="47" spans="1:22" x14ac:dyDescent="0.25">
      <c r="A47" t="s">
        <v>137</v>
      </c>
      <c r="B47" t="str">
        <f>IFERROR(_xlfn.XLOOKUP($A47,tblCustomers[Customer ID],tblCustomers[Customer Type]),"")</f>
        <v>Individual</v>
      </c>
      <c r="C47" t="str">
        <f>IFERROR(_xlfn.XLOOKUP($A47,tblCustomers[Customer ID],tblCustomers[Country]),"")</f>
        <v>Kenya</v>
      </c>
      <c r="D47" t="str">
        <f>IFERROR(_xlfn.XLOOKUP($A47,tblCustomers[Customer ID],tblCustomers[Occupation/Industry]),"")</f>
        <v>Doctor</v>
      </c>
      <c r="E47" t="str">
        <f>IFERROR(_xlfn.XLOOKUP($A47,tblCustomers[Customer ID],tblCustomers[Product Requested]),"")</f>
        <v>Current</v>
      </c>
      <c r="F47" t="str">
        <f>IFERROR(_xlfn.XLOOKUP($A47,tblCustomers[Customer ID],tblCustomers[Delivery Channel]),"")</f>
        <v>Online</v>
      </c>
      <c r="G47" t="str">
        <f>IFERROR(_xlfn.XLOOKUP($A47,tblScreening[Customer ID],tblScreening[Screening Result]),"")</f>
        <v>Clear</v>
      </c>
      <c r="H47">
        <f>IFERROR(_xlfn.XLOOKUP(B47,tblCustomerType[Customer Type],tblCustomerType[Risk Score]),0)</f>
        <v>2</v>
      </c>
      <c r="I47">
        <f>IFERROR(_xlfn.XLOOKUP(C47,tblCountryRisk[Country],tblCountryRisk[Risk Score]),0)</f>
        <v>2</v>
      </c>
      <c r="J47">
        <f>IFERROR(_xlfn.XLOOKUP(D47,tblOccupationRisk[Occupation],tblOccupationRisk[Risk Score]),0)</f>
        <v>0</v>
      </c>
      <c r="K47">
        <f>IFERROR(_xlfn.XLOOKUP(E47,tblProductRisk[Product],tblProductRisk[Risk Score]),0)</f>
        <v>2</v>
      </c>
      <c r="L47">
        <f>IFERROR(_xlfn.XLOOKUP(F47,tblChannelRisk[Channel],tblChannelRisk[Risk Score]),0)</f>
        <v>3</v>
      </c>
      <c r="M47">
        <f>IFERROR(_xlfn.XLOOKUP(G47,tblScreeningRisk[Screening Result],tblScreeningRisk[Risk Score]),0)</f>
        <v>1</v>
      </c>
      <c r="N47">
        <f>IFERROR(
_xlfn.MAXIFS(
'[1]Transaction Monitoring'!Q:Q,
'[1]Transaction Monitoring'!B:B,
A47
),
1
)</f>
        <v>1</v>
      </c>
      <c r="O47">
        <f t="shared" si="0"/>
        <v>11</v>
      </c>
      <c r="P47" t="str" cm="1">
        <f t="array" ref="P47">_xlfn.IFS(
O47&lt;=12,"Low",
O47&lt;=20,"Medium",
O47&lt;=30,"High",
TRUE,"Very High"
)</f>
        <v>Low</v>
      </c>
      <c r="Q47" t="str" cm="1">
        <f t="array" ref="Q47">_xlfn.IFS(
G47="Reject","EDD",
R47="Potential Match","EDD",
G47="EDD Review","EDD",
AND(S47="Yes",I47&gt;=4),"EDD",
T47="No","EDD",
TRUE,
_xlfn.XLOOKUP(
P47,
tblDueDiligence[Risk Rating],
tblDueDiligence[Due Diligence]
)
)</f>
        <v>SDD</v>
      </c>
      <c r="R47" t="str">
        <f>IFERROR(
_xlfn.XLOOKUP($A47,
tblScreening[Customer ID],
tblScreening[Sanction Match]),
"")</f>
        <v>No Match</v>
      </c>
      <c r="S47" t="str">
        <f>IFERROR(
_xlfn.XLOOKUP($A47,
tblScreening[Customer ID],
tblScreening[PEP]),
"")</f>
        <v>No</v>
      </c>
      <c r="T47" t="str">
        <f>IFERROR(
_xlfn.XLOOKUP($A47,
tblScreening[Customer ID],
tblScreening[Source of Wealth Obtained]),
"")</f>
        <v>Yes</v>
      </c>
      <c r="U47" t="str" cm="1">
        <f t="array" ref="U47">_xlfn.IFS(
G47="Reject","Screening Rejected",
R47="Potential Match","Potential Sanctions Match",
AND(S47="Yes",I47&gt;=4),"PEP in High-Risk Country",
T47="No","Missing Source of Wealth",
G47="EDD Review","EDD Review Required",
TRUE,"None"
)</f>
        <v>None</v>
      </c>
      <c r="V47" t="str" cm="1">
        <f t="array" ref="V47">_xlfn.IFS(
G47="Reject","Reject",
R47="Potential Match","Reject",
G47="EDD Review","Escalate",
AND(S47="Yes",I47&gt;=4),"Escalate",
T47="No","Escalate",
TRUE,
_xlfn.XLOOKUP(
Q47,
tblDecision[Due Diligence],
tblDecision[Decision]
)
)</f>
        <v>Approve</v>
      </c>
    </row>
    <row r="48" spans="1:22" x14ac:dyDescent="0.25">
      <c r="A48" t="s">
        <v>139</v>
      </c>
      <c r="B48" t="str">
        <f>IFERROR(_xlfn.XLOOKUP($A48,tblCustomers[Customer ID],tblCustomers[Customer Type]),"")</f>
        <v>Individual</v>
      </c>
      <c r="C48" t="str">
        <f>IFERROR(_xlfn.XLOOKUP($A48,tblCustomers[Customer ID],tblCustomers[Country]),"")</f>
        <v>Canada</v>
      </c>
      <c r="D48" t="str">
        <f>IFERROR(_xlfn.XLOOKUP($A48,tblCustomers[Customer ID],tblCustomers[Occupation/Industry]),"")</f>
        <v>Graphic Designer</v>
      </c>
      <c r="E48" t="str">
        <f>IFERROR(_xlfn.XLOOKUP($A48,tblCustomers[Customer ID],tblCustomers[Product Requested]),"")</f>
        <v>Fixed Deposit</v>
      </c>
      <c r="F48" t="str">
        <f>IFERROR(_xlfn.XLOOKUP($A48,tblCustomers[Customer ID],tblCustomers[Delivery Channel]),"")</f>
        <v>Branch</v>
      </c>
      <c r="G48" t="str">
        <f>IFERROR(_xlfn.XLOOKUP($A48,tblScreening[Customer ID],tblScreening[Screening Result]),"")</f>
        <v>Clear</v>
      </c>
      <c r="H48">
        <f>IFERROR(_xlfn.XLOOKUP(B48,tblCustomerType[Customer Type],tblCustomerType[Risk Score]),0)</f>
        <v>2</v>
      </c>
      <c r="I48">
        <f>IFERROR(_xlfn.XLOOKUP(C48,tblCountryRisk[Country],tblCountryRisk[Risk Score]),0)</f>
        <v>1</v>
      </c>
      <c r="J48">
        <f>IFERROR(_xlfn.XLOOKUP(D48,tblOccupationRisk[Occupation],tblOccupationRisk[Risk Score]),0)</f>
        <v>1</v>
      </c>
      <c r="K48">
        <f>IFERROR(_xlfn.XLOOKUP(E48,tblProductRisk[Product],tblProductRisk[Risk Score]),0)</f>
        <v>2</v>
      </c>
      <c r="L48">
        <f>IFERROR(_xlfn.XLOOKUP(F48,tblChannelRisk[Channel],tblChannelRisk[Risk Score]),0)</f>
        <v>1</v>
      </c>
      <c r="M48">
        <f>IFERROR(_xlfn.XLOOKUP(G48,tblScreeningRisk[Screening Result],tblScreeningRisk[Risk Score]),0)</f>
        <v>1</v>
      </c>
      <c r="N48">
        <f>IFERROR(
_xlfn.MAXIFS(
'[1]Transaction Monitoring'!Q:Q,
'[1]Transaction Monitoring'!B:B,
A48
),
1
)</f>
        <v>1</v>
      </c>
      <c r="O48">
        <f t="shared" si="0"/>
        <v>9</v>
      </c>
      <c r="P48" t="str" cm="1">
        <f t="array" ref="P48">_xlfn.IFS(
O48&lt;=12,"Low",
O48&lt;=20,"Medium",
O48&lt;=30,"High",
TRUE,"Very High"
)</f>
        <v>Low</v>
      </c>
      <c r="Q48" t="str" cm="1">
        <f t="array" ref="Q48">_xlfn.IFS(
G48="Reject","EDD",
R48="Potential Match","EDD",
G48="EDD Review","EDD",
AND(S48="Yes",I48&gt;=4),"EDD",
T48="No","EDD",
TRUE,
_xlfn.XLOOKUP(
P48,
tblDueDiligence[Risk Rating],
tblDueDiligence[Due Diligence]
)
)</f>
        <v>SDD</v>
      </c>
      <c r="R48" t="str">
        <f>IFERROR(
_xlfn.XLOOKUP($A48,
tblScreening[Customer ID],
tblScreening[Sanction Match]),
"")</f>
        <v>No Match</v>
      </c>
      <c r="S48" t="str">
        <f>IFERROR(
_xlfn.XLOOKUP($A48,
tblScreening[Customer ID],
tblScreening[PEP]),
"")</f>
        <v>No</v>
      </c>
      <c r="T48" t="str">
        <f>IFERROR(
_xlfn.XLOOKUP($A48,
tblScreening[Customer ID],
tblScreening[Source of Wealth Obtained]),
"")</f>
        <v>Yes</v>
      </c>
      <c r="U48" t="str" cm="1">
        <f t="array" ref="U48">_xlfn.IFS(
G48="Reject","Screening Rejected",
R48="Potential Match","Potential Sanctions Match",
AND(S48="Yes",I48&gt;=4),"PEP in High-Risk Country",
T48="No","Missing Source of Wealth",
G48="EDD Review","EDD Review Required",
TRUE,"None"
)</f>
        <v>None</v>
      </c>
      <c r="V48" t="str" cm="1">
        <f t="array" ref="V48">_xlfn.IFS(
G48="Reject","Reject",
R48="Potential Match","Reject",
G48="EDD Review","Escalate",
AND(S48="Yes",I48&gt;=4),"Escalate",
T48="No","Escalate",
TRUE,
_xlfn.XLOOKUP(
Q48,
tblDecision[Due Diligence],
tblDecision[Decision]
)
)</f>
        <v>Approve</v>
      </c>
    </row>
    <row r="49" spans="1:22" x14ac:dyDescent="0.25">
      <c r="A49" t="s">
        <v>141</v>
      </c>
      <c r="B49" t="str">
        <f>IFERROR(_xlfn.XLOOKUP($A49,tblCustomers[Customer ID],tblCustomers[Customer Type]),"")</f>
        <v>Individual</v>
      </c>
      <c r="C49" t="str">
        <f>IFERROR(_xlfn.XLOOKUP($A49,tblCustomers[Customer ID],tblCustomers[Country]),"")</f>
        <v>South Africa</v>
      </c>
      <c r="D49" t="str">
        <f>IFERROR(_xlfn.XLOOKUP($A49,tblCustomers[Customer ID],tblCustomers[Occupation/Industry]),"")</f>
        <v>Data Analyst</v>
      </c>
      <c r="E49" t="str">
        <f>IFERROR(_xlfn.XLOOKUP($A49,tblCustomers[Customer ID],tblCustomers[Product Requested]),"")</f>
        <v>Savings</v>
      </c>
      <c r="F49" t="str">
        <f>IFERROR(_xlfn.XLOOKUP($A49,tblCustomers[Customer ID],tblCustomers[Delivery Channel]),"")</f>
        <v>Relationship Manager</v>
      </c>
      <c r="G49" t="str">
        <f>IFERROR(_xlfn.XLOOKUP($A49,tblScreening[Customer ID],tblScreening[Screening Result]),"")</f>
        <v>Review</v>
      </c>
      <c r="H49">
        <f>IFERROR(_xlfn.XLOOKUP(B49,tblCustomerType[Customer Type],tblCustomerType[Risk Score]),0)</f>
        <v>2</v>
      </c>
      <c r="I49">
        <f>IFERROR(_xlfn.XLOOKUP(C49,tblCountryRisk[Country],tblCountryRisk[Risk Score]),0)</f>
        <v>2</v>
      </c>
      <c r="J49">
        <f>IFERROR(_xlfn.XLOOKUP(D49,tblOccupationRisk[Occupation],tblOccupationRisk[Risk Score]),0)</f>
        <v>1</v>
      </c>
      <c r="K49">
        <f>IFERROR(_xlfn.XLOOKUP(E49,tblProductRisk[Product],tblProductRisk[Risk Score]),0)</f>
        <v>1</v>
      </c>
      <c r="L49">
        <f>IFERROR(_xlfn.XLOOKUP(F49,tblChannelRisk[Channel],tblChannelRisk[Risk Score]),0)</f>
        <v>2</v>
      </c>
      <c r="M49">
        <f>IFERROR(_xlfn.XLOOKUP(G49,tblScreeningRisk[Screening Result],tblScreeningRisk[Risk Score]),0)</f>
        <v>3</v>
      </c>
      <c r="N49">
        <f>IFERROR(
_xlfn.MAXIFS(
'[1]Transaction Monitoring'!Q:Q,
'[1]Transaction Monitoring'!B:B,
A49
),
1
)</f>
        <v>1</v>
      </c>
      <c r="O49">
        <f t="shared" si="0"/>
        <v>12</v>
      </c>
      <c r="P49" t="str" cm="1">
        <f t="array" ref="P49">_xlfn.IFS(
O49&lt;=12,"Low",
O49&lt;=20,"Medium",
O49&lt;=30,"High",
TRUE,"Very High"
)</f>
        <v>Low</v>
      </c>
      <c r="Q49" t="str" cm="1">
        <f t="array" ref="Q49">_xlfn.IFS(
G49="Reject","EDD",
R49="Potential Match","EDD",
G49="EDD Review","EDD",
AND(S49="Yes",I49&gt;=4),"EDD",
T49="No","EDD",
TRUE,
_xlfn.XLOOKUP(
P49,
tblDueDiligence[Risk Rating],
tblDueDiligence[Due Diligence]
)
)</f>
        <v>SDD</v>
      </c>
      <c r="R49" t="str">
        <f>IFERROR(
_xlfn.XLOOKUP($A49,
tblScreening[Customer ID],
tblScreening[Sanction Match]),
"")</f>
        <v>No Match</v>
      </c>
      <c r="S49" t="str">
        <f>IFERROR(
_xlfn.XLOOKUP($A49,
tblScreening[Customer ID],
tblScreening[PEP]),
"")</f>
        <v>Yes</v>
      </c>
      <c r="T49" t="str">
        <f>IFERROR(
_xlfn.XLOOKUP($A49,
tblScreening[Customer ID],
tblScreening[Source of Wealth Obtained]),
"")</f>
        <v>Yes</v>
      </c>
      <c r="U49" t="str" cm="1">
        <f t="array" ref="U49">_xlfn.IFS(
G49="Reject","Screening Rejected",
R49="Potential Match","Potential Sanctions Match",
AND(S49="Yes",I49&gt;=4),"PEP in High-Risk Country",
T49="No","Missing Source of Wealth",
G49="EDD Review","EDD Review Required",
TRUE,"None"
)</f>
        <v>None</v>
      </c>
      <c r="V49" t="str" cm="1">
        <f t="array" ref="V49">_xlfn.IFS(
G49="Reject","Reject",
R49="Potential Match","Reject",
G49="EDD Review","Escalate",
AND(S49="Yes",I49&gt;=4),"Escalate",
T49="No","Escalate",
TRUE,
_xlfn.XLOOKUP(
Q49,
tblDecision[Due Diligence],
tblDecision[Decision]
)
)</f>
        <v>Approve</v>
      </c>
    </row>
    <row r="50" spans="1:22" x14ac:dyDescent="0.25">
      <c r="A50" t="s">
        <v>143</v>
      </c>
      <c r="B50" t="str">
        <f>IFERROR(_xlfn.XLOOKUP($A50,tblCustomers[Customer ID],tblCustomers[Customer Type]),"")</f>
        <v>Individual</v>
      </c>
      <c r="C50" t="str">
        <f>IFERROR(_xlfn.XLOOKUP($A50,tblCustomers[Customer ID],tblCustomers[Country]),"")</f>
        <v>Ghana</v>
      </c>
      <c r="D50" t="str">
        <f>IFERROR(_xlfn.XLOOKUP($A50,tblCustomers[Customer ID],tblCustomers[Occupation/Industry]),"")</f>
        <v>Engineer</v>
      </c>
      <c r="E50" t="str">
        <f>IFERROR(_xlfn.XLOOKUP($A50,tblCustomers[Customer ID],tblCustomers[Product Requested]),"")</f>
        <v>Fixed Deposit</v>
      </c>
      <c r="F50" t="str">
        <f>IFERROR(_xlfn.XLOOKUP($A50,tblCustomers[Customer ID],tblCustomers[Delivery Channel]),"")</f>
        <v>Online</v>
      </c>
      <c r="G50" t="str">
        <f>IFERROR(_xlfn.XLOOKUP($A50,tblScreening[Customer ID],tblScreening[Screening Result]),"")</f>
        <v>Review</v>
      </c>
      <c r="H50">
        <f>IFERROR(_xlfn.XLOOKUP(B50,tblCustomerType[Customer Type],tblCustomerType[Risk Score]),0)</f>
        <v>2</v>
      </c>
      <c r="I50">
        <f>IFERROR(_xlfn.XLOOKUP(C50,tblCountryRisk[Country],tblCountryRisk[Risk Score]),0)</f>
        <v>2</v>
      </c>
      <c r="J50">
        <f>IFERROR(_xlfn.XLOOKUP(D50,tblOccupationRisk[Occupation],tblOccupationRisk[Risk Score]),0)</f>
        <v>0</v>
      </c>
      <c r="K50">
        <f>IFERROR(_xlfn.XLOOKUP(E50,tblProductRisk[Product],tblProductRisk[Risk Score]),0)</f>
        <v>2</v>
      </c>
      <c r="L50">
        <f>IFERROR(_xlfn.XLOOKUP(F50,tblChannelRisk[Channel],tblChannelRisk[Risk Score]),0)</f>
        <v>3</v>
      </c>
      <c r="M50">
        <f>IFERROR(_xlfn.XLOOKUP(G50,tblScreeningRisk[Screening Result],tblScreeningRisk[Risk Score]),0)</f>
        <v>3</v>
      </c>
      <c r="N50">
        <f>IFERROR(
_xlfn.MAXIFS(
'[1]Transaction Monitoring'!Q:Q,
'[1]Transaction Monitoring'!B:B,
A50
),
1
)</f>
        <v>1</v>
      </c>
      <c r="O50">
        <f t="shared" si="0"/>
        <v>13</v>
      </c>
      <c r="P50" t="str" cm="1">
        <f t="array" ref="P50">_xlfn.IFS(
O50&lt;=12,"Low",
O50&lt;=20,"Medium",
O50&lt;=30,"High",
TRUE,"Very High"
)</f>
        <v>Medium</v>
      </c>
      <c r="Q50" t="str" cm="1">
        <f t="array" ref="Q50">_xlfn.IFS(
G50="Reject","EDD",
R50="Potential Match","EDD",
G50="EDD Review","EDD",
AND(S50="Yes",I50&gt;=4),"EDD",
T50="No","EDD",
TRUE,
_xlfn.XLOOKUP(
P50,
tblDueDiligence[Risk Rating],
tblDueDiligence[Due Diligence]
)
)</f>
        <v>CDD</v>
      </c>
      <c r="R50" t="str">
        <f>IFERROR(
_xlfn.XLOOKUP($A50,
tblScreening[Customer ID],
tblScreening[Sanction Match]),
"")</f>
        <v>No Match</v>
      </c>
      <c r="S50" t="str">
        <f>IFERROR(
_xlfn.XLOOKUP($A50,
tblScreening[Customer ID],
tblScreening[PEP]),
"")</f>
        <v>Yes</v>
      </c>
      <c r="T50" t="str">
        <f>IFERROR(
_xlfn.XLOOKUP($A50,
tblScreening[Customer ID],
tblScreening[Source of Wealth Obtained]),
"")</f>
        <v>Yes</v>
      </c>
      <c r="U50" t="str" cm="1">
        <f t="array" ref="U50">_xlfn.IFS(
G50="Reject","Screening Rejected",
R50="Potential Match","Potential Sanctions Match",
AND(S50="Yes",I50&gt;=4),"PEP in High-Risk Country",
T50="No","Missing Source of Wealth",
G50="EDD Review","EDD Review Required",
TRUE,"None"
)</f>
        <v>None</v>
      </c>
      <c r="V50" t="str" cm="1">
        <f t="array" ref="V50">_xlfn.IFS(
G50="Reject","Reject",
R50="Potential Match","Reject",
G50="EDD Review","Escalate",
AND(S50="Yes",I50&gt;=4),"Escalate",
T50="No","Escalate",
TRUE,
_xlfn.XLOOKUP(
Q50,
tblDecision[Due Diligence],
tblDecision[Decision]
)
)</f>
        <v>Approve</v>
      </c>
    </row>
    <row r="51" spans="1:22" x14ac:dyDescent="0.25">
      <c r="A51" t="s">
        <v>145</v>
      </c>
      <c r="B51" t="str">
        <f>IFERROR(_xlfn.XLOOKUP($A51,tblCustomers[Customer ID],tblCustomers[Customer Type]),"")</f>
        <v>Individual</v>
      </c>
      <c r="C51" t="str">
        <f>IFERROR(_xlfn.XLOOKUP($A51,tblCustomers[Customer ID],tblCustomers[Country]),"")</f>
        <v>South Africa</v>
      </c>
      <c r="D51" t="str">
        <f>IFERROR(_xlfn.XLOOKUP($A51,tblCustomers[Customer ID],tblCustomers[Occupation/Industry]),"")</f>
        <v>Journalist</v>
      </c>
      <c r="E51" t="str">
        <f>IFERROR(_xlfn.XLOOKUP($A51,tblCustomers[Customer ID],tblCustomers[Product Requested]),"")</f>
        <v>Corporate Account</v>
      </c>
      <c r="F51" t="str">
        <f>IFERROR(_xlfn.XLOOKUP($A51,tblCustomers[Customer ID],tblCustomers[Delivery Channel]),"")</f>
        <v>Mobile App</v>
      </c>
      <c r="G51" t="str">
        <f>IFERROR(_xlfn.XLOOKUP($A51,tblScreening[Customer ID],tblScreening[Screening Result]),"")</f>
        <v>Review</v>
      </c>
      <c r="H51">
        <f>IFERROR(_xlfn.XLOOKUP(B51,tblCustomerType[Customer Type],tblCustomerType[Risk Score]),0)</f>
        <v>2</v>
      </c>
      <c r="I51">
        <f>IFERROR(_xlfn.XLOOKUP(C51,tblCountryRisk[Country],tblCountryRisk[Risk Score]),0)</f>
        <v>2</v>
      </c>
      <c r="J51">
        <f>IFERROR(_xlfn.XLOOKUP(D51,tblOccupationRisk[Occupation],tblOccupationRisk[Risk Score]),0)</f>
        <v>2</v>
      </c>
      <c r="K51">
        <f>IFERROR(_xlfn.XLOOKUP(E51,tblProductRisk[Product],tblProductRisk[Risk Score]),0)</f>
        <v>3</v>
      </c>
      <c r="L51">
        <f>IFERROR(_xlfn.XLOOKUP(F51,tblChannelRisk[Channel],tblChannelRisk[Risk Score]),0)</f>
        <v>3</v>
      </c>
      <c r="M51">
        <f>IFERROR(_xlfn.XLOOKUP(G51,tblScreeningRisk[Screening Result],tblScreeningRisk[Risk Score]),0)</f>
        <v>3</v>
      </c>
      <c r="N51">
        <f>IFERROR(
_xlfn.MAXIFS(
'[1]Transaction Monitoring'!Q:Q,
'[1]Transaction Monitoring'!B:B,
A51
),
1
)</f>
        <v>1</v>
      </c>
      <c r="O51">
        <f t="shared" si="0"/>
        <v>16</v>
      </c>
      <c r="P51" t="str" cm="1">
        <f t="array" ref="P51">_xlfn.IFS(
O51&lt;=12,"Low",
O51&lt;=20,"Medium",
O51&lt;=30,"High",
TRUE,"Very High"
)</f>
        <v>Medium</v>
      </c>
      <c r="Q51" t="str" cm="1">
        <f t="array" ref="Q51">_xlfn.IFS(
G51="Reject","EDD",
R51="Potential Match","EDD",
G51="EDD Review","EDD",
AND(S51="Yes",I51&gt;=4),"EDD",
T51="No","EDD",
TRUE,
_xlfn.XLOOKUP(
P51,
tblDueDiligence[Risk Rating],
tblDueDiligence[Due Diligence]
)
)</f>
        <v>CDD</v>
      </c>
      <c r="R51" t="str">
        <f>IFERROR(
_xlfn.XLOOKUP($A51,
tblScreening[Customer ID],
tblScreening[Sanction Match]),
"")</f>
        <v>No Match</v>
      </c>
      <c r="S51" t="str">
        <f>IFERROR(
_xlfn.XLOOKUP($A51,
tblScreening[Customer ID],
tblScreening[PEP]),
"")</f>
        <v>Yes</v>
      </c>
      <c r="T51" t="str">
        <f>IFERROR(
_xlfn.XLOOKUP($A51,
tblScreening[Customer ID],
tblScreening[Source of Wealth Obtained]),
"")</f>
        <v>Yes</v>
      </c>
      <c r="U51" t="str" cm="1">
        <f t="array" ref="U51">_xlfn.IFS(
G51="Reject","Screening Rejected",
R51="Potential Match","Potential Sanctions Match",
AND(S51="Yes",I51&gt;=4),"PEP in High-Risk Country",
T51="No","Missing Source of Wealth",
G51="EDD Review","EDD Review Required",
TRUE,"None"
)</f>
        <v>None</v>
      </c>
      <c r="V51" t="str" cm="1">
        <f t="array" ref="V51">_xlfn.IFS(
G51="Reject","Reject",
R51="Potential Match","Reject",
G51="EDD Review","Escalate",
AND(S51="Yes",I51&gt;=4),"Escalate",
T51="No","Escalate",
TRUE,
_xlfn.XLOOKUP(
Q51,
tblDecision[Due Diligence],
tblDecision[Decision]
)
)</f>
        <v>Approve</v>
      </c>
    </row>
    <row r="52" spans="1:22" x14ac:dyDescent="0.25">
      <c r="A52" t="s">
        <v>147</v>
      </c>
      <c r="B52" t="str">
        <f>IFERROR(_xlfn.XLOOKUP($A52,tblCustomers[Customer ID],tblCustomers[Customer Type]),"")</f>
        <v>Individual</v>
      </c>
      <c r="C52" t="str">
        <f>IFERROR(_xlfn.XLOOKUP($A52,tblCustomers[Customer ID],tblCustomers[Country]),"")</f>
        <v>Kenya</v>
      </c>
      <c r="D52" t="str">
        <f>IFERROR(_xlfn.XLOOKUP($A52,tblCustomers[Customer ID],tblCustomers[Occupation/Industry]),"")</f>
        <v>Graphic Designer</v>
      </c>
      <c r="E52" t="str">
        <f>IFERROR(_xlfn.XLOOKUP($A52,tblCustomers[Customer ID],tblCustomers[Product Requested]),"")</f>
        <v>Savings</v>
      </c>
      <c r="F52" t="str">
        <f>IFERROR(_xlfn.XLOOKUP($A52,tblCustomers[Customer ID],tblCustomers[Delivery Channel]),"")</f>
        <v>Online</v>
      </c>
      <c r="G52" t="str">
        <f>IFERROR(_xlfn.XLOOKUP($A52,tblScreening[Customer ID],tblScreening[Screening Result]),"")</f>
        <v>Reject</v>
      </c>
      <c r="H52">
        <f>IFERROR(_xlfn.XLOOKUP(B52,tblCustomerType[Customer Type],tblCustomerType[Risk Score]),0)</f>
        <v>2</v>
      </c>
      <c r="I52">
        <f>IFERROR(_xlfn.XLOOKUP(C52,tblCountryRisk[Country],tblCountryRisk[Risk Score]),0)</f>
        <v>2</v>
      </c>
      <c r="J52">
        <f>IFERROR(_xlfn.XLOOKUP(D52,tblOccupationRisk[Occupation],tblOccupationRisk[Risk Score]),0)</f>
        <v>1</v>
      </c>
      <c r="K52">
        <f>IFERROR(_xlfn.XLOOKUP(E52,tblProductRisk[Product],tblProductRisk[Risk Score]),0)</f>
        <v>1</v>
      </c>
      <c r="L52">
        <f>IFERROR(_xlfn.XLOOKUP(F52,tblChannelRisk[Channel],tblChannelRisk[Risk Score]),0)</f>
        <v>3</v>
      </c>
      <c r="M52">
        <f>IFERROR(_xlfn.XLOOKUP(G52,tblScreeningRisk[Screening Result],tblScreeningRisk[Risk Score]),0)</f>
        <v>10</v>
      </c>
      <c r="N52">
        <f>IFERROR(
_xlfn.MAXIFS(
'[1]Transaction Monitoring'!Q:Q,
'[1]Transaction Monitoring'!B:B,
A52
),
1
)</f>
        <v>1</v>
      </c>
      <c r="O52">
        <f t="shared" si="0"/>
        <v>20</v>
      </c>
      <c r="P52" t="str" cm="1">
        <f t="array" ref="P52">_xlfn.IFS(
O52&lt;=12,"Low",
O52&lt;=20,"Medium",
O52&lt;=30,"High",
TRUE,"Very High"
)</f>
        <v>Medium</v>
      </c>
      <c r="Q52" t="str" cm="1">
        <f t="array" ref="Q52">_xlfn.IFS(
G52="Reject","EDD",
R52="Potential Match","EDD",
G52="EDD Review","EDD",
AND(S52="Yes",I52&gt;=4),"EDD",
T52="No","EDD",
TRUE,
_xlfn.XLOOKUP(
P52,
tblDueDiligence[Risk Rating],
tblDueDiligence[Due Diligence]
)
)</f>
        <v>EDD</v>
      </c>
      <c r="R52" t="str">
        <f>IFERROR(
_xlfn.XLOOKUP($A52,
tblScreening[Customer ID],
tblScreening[Sanction Match]),
"")</f>
        <v>Potential Match</v>
      </c>
      <c r="S52" t="str">
        <f>IFERROR(
_xlfn.XLOOKUP($A52,
tblScreening[Customer ID],
tblScreening[PEP]),
"")</f>
        <v>No</v>
      </c>
      <c r="T52" t="str">
        <f>IFERROR(
_xlfn.XLOOKUP($A52,
tblScreening[Customer ID],
tblScreening[Source of Wealth Obtained]),
"")</f>
        <v>Yes</v>
      </c>
      <c r="U52" t="str" cm="1">
        <f t="array" ref="U52">_xlfn.IFS(
G52="Reject","Screening Rejected",
R52="Potential Match","Potential Sanctions Match",
AND(S52="Yes",I52&gt;=4),"PEP in High-Risk Country",
T52="No","Missing Source of Wealth",
G52="EDD Review","EDD Review Required",
TRUE,"None"
)</f>
        <v>Screening Rejected</v>
      </c>
      <c r="V52" t="str" cm="1">
        <f t="array" ref="V52">_xlfn.IFS(
G52="Reject","Reject",
R52="Potential Match","Reject",
G52="EDD Review","Escalate",
AND(S52="Yes",I52&gt;=4),"Escalate",
T52="No","Escalate",
TRUE,
_xlfn.XLOOKUP(
Q52,
tblDecision[Due Diligence],
tblDecision[Decision]
)
)</f>
        <v>Reject</v>
      </c>
    </row>
    <row r="53" spans="1:22" x14ac:dyDescent="0.25">
      <c r="A53" t="s">
        <v>149</v>
      </c>
      <c r="B53" t="str">
        <f>IFERROR(_xlfn.XLOOKUP($A53,tblCustomers[Customer ID],tblCustomers[Customer Type]),"")</f>
        <v>Individual</v>
      </c>
      <c r="C53" t="str">
        <f>IFERROR(_xlfn.XLOOKUP($A53,tblCustomers[Customer ID],tblCustomers[Country]),"")</f>
        <v>United States</v>
      </c>
      <c r="D53" t="str">
        <f>IFERROR(_xlfn.XLOOKUP($A53,tblCustomers[Customer ID],tblCustomers[Occupation/Industry]),"")</f>
        <v>Civil Servant</v>
      </c>
      <c r="E53" t="str">
        <f>IFERROR(_xlfn.XLOOKUP($A53,tblCustomers[Customer ID],tblCustomers[Product Requested]),"")</f>
        <v>Savings</v>
      </c>
      <c r="F53" t="str">
        <f>IFERROR(_xlfn.XLOOKUP($A53,tblCustomers[Customer ID],tblCustomers[Delivery Channel]),"")</f>
        <v>Mobile App</v>
      </c>
      <c r="G53" t="str">
        <f>IFERROR(_xlfn.XLOOKUP($A53,tblScreening[Customer ID],tblScreening[Screening Result]),"")</f>
        <v>Clear</v>
      </c>
      <c r="H53">
        <f>IFERROR(_xlfn.XLOOKUP(B53,tblCustomerType[Customer Type],tblCustomerType[Risk Score]),0)</f>
        <v>2</v>
      </c>
      <c r="I53">
        <f>IFERROR(_xlfn.XLOOKUP(C53,tblCountryRisk[Country],tblCountryRisk[Risk Score]),0)</f>
        <v>1</v>
      </c>
      <c r="J53">
        <f>IFERROR(_xlfn.XLOOKUP(D53,tblOccupationRisk[Occupation],tblOccupationRisk[Risk Score]),0)</f>
        <v>1</v>
      </c>
      <c r="K53">
        <f>IFERROR(_xlfn.XLOOKUP(E53,tblProductRisk[Product],tblProductRisk[Risk Score]),0)</f>
        <v>1</v>
      </c>
      <c r="L53">
        <f>IFERROR(_xlfn.XLOOKUP(F53,tblChannelRisk[Channel],tblChannelRisk[Risk Score]),0)</f>
        <v>3</v>
      </c>
      <c r="M53">
        <f>IFERROR(_xlfn.XLOOKUP(G53,tblScreeningRisk[Screening Result],tblScreeningRisk[Risk Score]),0)</f>
        <v>1</v>
      </c>
      <c r="N53">
        <f>IFERROR(
_xlfn.MAXIFS(
'[1]Transaction Monitoring'!Q:Q,
'[1]Transaction Monitoring'!B:B,
A53
),
1
)</f>
        <v>1</v>
      </c>
      <c r="O53">
        <f t="shared" si="0"/>
        <v>10</v>
      </c>
      <c r="P53" t="str" cm="1">
        <f t="array" ref="P53">_xlfn.IFS(
O53&lt;=12,"Low",
O53&lt;=20,"Medium",
O53&lt;=30,"High",
TRUE,"Very High"
)</f>
        <v>Low</v>
      </c>
      <c r="Q53" t="str" cm="1">
        <f t="array" ref="Q53">_xlfn.IFS(
G53="Reject","EDD",
R53="Potential Match","EDD",
G53="EDD Review","EDD",
AND(S53="Yes",I53&gt;=4),"EDD",
T53="No","EDD",
TRUE,
_xlfn.XLOOKUP(
P53,
tblDueDiligence[Risk Rating],
tblDueDiligence[Due Diligence]
)
)</f>
        <v>SDD</v>
      </c>
      <c r="R53" t="str">
        <f>IFERROR(
_xlfn.XLOOKUP($A53,
tblScreening[Customer ID],
tblScreening[Sanction Match]),
"")</f>
        <v>No Match</v>
      </c>
      <c r="S53" t="str">
        <f>IFERROR(
_xlfn.XLOOKUP($A53,
tblScreening[Customer ID],
tblScreening[PEP]),
"")</f>
        <v>No</v>
      </c>
      <c r="T53" t="str">
        <f>IFERROR(
_xlfn.XLOOKUP($A53,
tblScreening[Customer ID],
tblScreening[Source of Wealth Obtained]),
"")</f>
        <v>Yes</v>
      </c>
      <c r="U53" t="str" cm="1">
        <f t="array" ref="U53">_xlfn.IFS(
G53="Reject","Screening Rejected",
R53="Potential Match","Potential Sanctions Match",
AND(S53="Yes",I53&gt;=4),"PEP in High-Risk Country",
T53="No","Missing Source of Wealth",
G53="EDD Review","EDD Review Required",
TRUE,"None"
)</f>
        <v>None</v>
      </c>
      <c r="V53" t="str" cm="1">
        <f t="array" ref="V53">_xlfn.IFS(
G53="Reject","Reject",
R53="Potential Match","Reject",
G53="EDD Review","Escalate",
AND(S53="Yes",I53&gt;=4),"Escalate",
T53="No","Escalate",
TRUE,
_xlfn.XLOOKUP(
Q53,
tblDecision[Due Diligence],
tblDecision[Decision]
)
)</f>
        <v>Approve</v>
      </c>
    </row>
    <row r="54" spans="1:22" x14ac:dyDescent="0.25">
      <c r="A54" t="s">
        <v>151</v>
      </c>
      <c r="B54" t="str">
        <f>IFERROR(_xlfn.XLOOKUP($A54,tblCustomers[Customer ID],tblCustomers[Customer Type]),"")</f>
        <v>Individual</v>
      </c>
      <c r="C54" t="str">
        <f>IFERROR(_xlfn.XLOOKUP($A54,tblCustomers[Customer ID],tblCustomers[Country]),"")</f>
        <v>Nigeria</v>
      </c>
      <c r="D54" t="str">
        <f>IFERROR(_xlfn.XLOOKUP($A54,tblCustomers[Customer ID],tblCustomers[Occupation/Industry]),"")</f>
        <v>Journalist</v>
      </c>
      <c r="E54" t="str">
        <f>IFERROR(_xlfn.XLOOKUP($A54,tblCustomers[Customer ID],tblCustomers[Product Requested]),"")</f>
        <v>Fixed Deposit</v>
      </c>
      <c r="F54" t="str">
        <f>IFERROR(_xlfn.XLOOKUP($A54,tblCustomers[Customer ID],tblCustomers[Delivery Channel]),"")</f>
        <v>Online</v>
      </c>
      <c r="G54" t="str">
        <f>IFERROR(_xlfn.XLOOKUP($A54,tblScreening[Customer ID],tblScreening[Screening Result]),"")</f>
        <v>Review</v>
      </c>
      <c r="H54">
        <f>IFERROR(_xlfn.XLOOKUP(B54,tblCustomerType[Customer Type],tblCustomerType[Risk Score]),0)</f>
        <v>2</v>
      </c>
      <c r="I54">
        <f>IFERROR(_xlfn.XLOOKUP(C54,tblCountryRisk[Country],tblCountryRisk[Risk Score]),0)</f>
        <v>2</v>
      </c>
      <c r="J54">
        <f>IFERROR(_xlfn.XLOOKUP(D54,tblOccupationRisk[Occupation],tblOccupationRisk[Risk Score]),0)</f>
        <v>2</v>
      </c>
      <c r="K54">
        <f>IFERROR(_xlfn.XLOOKUP(E54,tblProductRisk[Product],tblProductRisk[Risk Score]),0)</f>
        <v>2</v>
      </c>
      <c r="L54">
        <f>IFERROR(_xlfn.XLOOKUP(F54,tblChannelRisk[Channel],tblChannelRisk[Risk Score]),0)</f>
        <v>3</v>
      </c>
      <c r="M54">
        <f>IFERROR(_xlfn.XLOOKUP(G54,tblScreeningRisk[Screening Result],tblScreeningRisk[Risk Score]),0)</f>
        <v>3</v>
      </c>
      <c r="N54">
        <f>IFERROR(
_xlfn.MAXIFS(
'[1]Transaction Monitoring'!Q:Q,
'[1]Transaction Monitoring'!B:B,
A54
),
1
)</f>
        <v>1</v>
      </c>
      <c r="O54">
        <f t="shared" si="0"/>
        <v>15</v>
      </c>
      <c r="P54" t="str" cm="1">
        <f t="array" ref="P54">_xlfn.IFS(
O54&lt;=12,"Low",
O54&lt;=20,"Medium",
O54&lt;=30,"High",
TRUE,"Very High"
)</f>
        <v>Medium</v>
      </c>
      <c r="Q54" t="str" cm="1">
        <f t="array" ref="Q54">_xlfn.IFS(
G54="Reject","EDD",
R54="Potential Match","EDD",
G54="EDD Review","EDD",
AND(S54="Yes",I54&gt;=4),"EDD",
T54="No","EDD",
TRUE,
_xlfn.XLOOKUP(
P54,
tblDueDiligence[Risk Rating],
tblDueDiligence[Due Diligence]
)
)</f>
        <v>CDD</v>
      </c>
      <c r="R54" t="str">
        <f>IFERROR(
_xlfn.XLOOKUP($A54,
tblScreening[Customer ID],
tblScreening[Sanction Match]),
"")</f>
        <v>No Match</v>
      </c>
      <c r="S54" t="str">
        <f>IFERROR(
_xlfn.XLOOKUP($A54,
tblScreening[Customer ID],
tblScreening[PEP]),
"")</f>
        <v>No</v>
      </c>
      <c r="T54" t="str">
        <f>IFERROR(
_xlfn.XLOOKUP($A54,
tblScreening[Customer ID],
tblScreening[Source of Wealth Obtained]),
"")</f>
        <v>Yes</v>
      </c>
      <c r="U54" t="str" cm="1">
        <f t="array" ref="U54">_xlfn.IFS(
G54="Reject","Screening Rejected",
R54="Potential Match","Potential Sanctions Match",
AND(S54="Yes",I54&gt;=4),"PEP in High-Risk Country",
T54="No","Missing Source of Wealth",
G54="EDD Review","EDD Review Required",
TRUE,"None"
)</f>
        <v>None</v>
      </c>
      <c r="V54" t="str" cm="1">
        <f t="array" ref="V54">_xlfn.IFS(
G54="Reject","Reject",
R54="Potential Match","Reject",
G54="EDD Review","Escalate",
AND(S54="Yes",I54&gt;=4),"Escalate",
T54="No","Escalate",
TRUE,
_xlfn.XLOOKUP(
Q54,
tblDecision[Due Diligence],
tblDecision[Decision]
)
)</f>
        <v>Approve</v>
      </c>
    </row>
    <row r="55" spans="1:22" x14ac:dyDescent="0.25">
      <c r="A55" t="s">
        <v>153</v>
      </c>
      <c r="B55" t="str">
        <f>IFERROR(_xlfn.XLOOKUP($A55,tblCustomers[Customer ID],tblCustomers[Customer Type]),"")</f>
        <v>Individual</v>
      </c>
      <c r="C55" t="str">
        <f>IFERROR(_xlfn.XLOOKUP($A55,tblCustomers[Customer ID],tblCustomers[Country]),"")</f>
        <v>Nigeria</v>
      </c>
      <c r="D55" t="str">
        <f>IFERROR(_xlfn.XLOOKUP($A55,tblCustomers[Customer ID],tblCustomers[Occupation/Industry]),"")</f>
        <v>Trader</v>
      </c>
      <c r="E55" t="str">
        <f>IFERROR(_xlfn.XLOOKUP($A55,tblCustomers[Customer ID],tblCustomers[Product Requested]),"")</f>
        <v>Corporate Account</v>
      </c>
      <c r="F55" t="str">
        <f>IFERROR(_xlfn.XLOOKUP($A55,tblCustomers[Customer ID],tblCustomers[Delivery Channel]),"")</f>
        <v>Online</v>
      </c>
      <c r="G55" t="str">
        <f>IFERROR(_xlfn.XLOOKUP($A55,tblScreening[Customer ID],tblScreening[Screening Result]),"")</f>
        <v>Review</v>
      </c>
      <c r="H55">
        <f>IFERROR(_xlfn.XLOOKUP(B55,tblCustomerType[Customer Type],tblCustomerType[Risk Score]),0)</f>
        <v>2</v>
      </c>
      <c r="I55">
        <f>IFERROR(_xlfn.XLOOKUP(C55,tblCountryRisk[Country],tblCountryRisk[Risk Score]),0)</f>
        <v>2</v>
      </c>
      <c r="J55">
        <f>IFERROR(_xlfn.XLOOKUP(D55,tblOccupationRisk[Occupation],tblOccupationRisk[Risk Score]),0)</f>
        <v>3</v>
      </c>
      <c r="K55">
        <f>IFERROR(_xlfn.XLOOKUP(E55,tblProductRisk[Product],tblProductRisk[Risk Score]),0)</f>
        <v>3</v>
      </c>
      <c r="L55">
        <f>IFERROR(_xlfn.XLOOKUP(F55,tblChannelRisk[Channel],tblChannelRisk[Risk Score]),0)</f>
        <v>3</v>
      </c>
      <c r="M55">
        <f>IFERROR(_xlfn.XLOOKUP(G55,tblScreeningRisk[Screening Result],tblScreeningRisk[Risk Score]),0)</f>
        <v>3</v>
      </c>
      <c r="N55">
        <f>IFERROR(
_xlfn.MAXIFS(
'[1]Transaction Monitoring'!Q:Q,
'[1]Transaction Monitoring'!B:B,
A55
),
1
)</f>
        <v>1</v>
      </c>
      <c r="O55">
        <f t="shared" si="0"/>
        <v>17</v>
      </c>
      <c r="P55" t="str" cm="1">
        <f t="array" ref="P55">_xlfn.IFS(
O55&lt;=12,"Low",
O55&lt;=20,"Medium",
O55&lt;=30,"High",
TRUE,"Very High"
)</f>
        <v>Medium</v>
      </c>
      <c r="Q55" t="str" cm="1">
        <f t="array" ref="Q55">_xlfn.IFS(
G55="Reject","EDD",
R55="Potential Match","EDD",
G55="EDD Review","EDD",
AND(S55="Yes",I55&gt;=4),"EDD",
T55="No","EDD",
TRUE,
_xlfn.XLOOKUP(
P55,
tblDueDiligence[Risk Rating],
tblDueDiligence[Due Diligence]
)
)</f>
        <v>CDD</v>
      </c>
      <c r="R55" t="str">
        <f>IFERROR(
_xlfn.XLOOKUP($A55,
tblScreening[Customer ID],
tblScreening[Sanction Match]),
"")</f>
        <v>No Match</v>
      </c>
      <c r="S55" t="str">
        <f>IFERROR(
_xlfn.XLOOKUP($A55,
tblScreening[Customer ID],
tblScreening[PEP]),
"")</f>
        <v>No</v>
      </c>
      <c r="T55" t="str">
        <f>IFERROR(
_xlfn.XLOOKUP($A55,
tblScreening[Customer ID],
tblScreening[Source of Wealth Obtained]),
"")</f>
        <v>Yes</v>
      </c>
      <c r="U55" t="str" cm="1">
        <f t="array" ref="U55">_xlfn.IFS(
G55="Reject","Screening Rejected",
R55="Potential Match","Potential Sanctions Match",
AND(S55="Yes",I55&gt;=4),"PEP in High-Risk Country",
T55="No","Missing Source of Wealth",
G55="EDD Review","EDD Review Required",
TRUE,"None"
)</f>
        <v>None</v>
      </c>
      <c r="V55" t="str" cm="1">
        <f t="array" ref="V55">_xlfn.IFS(
G55="Reject","Reject",
R55="Potential Match","Reject",
G55="EDD Review","Escalate",
AND(S55="Yes",I55&gt;=4),"Escalate",
T55="No","Escalate",
TRUE,
_xlfn.XLOOKUP(
Q55,
tblDecision[Due Diligence],
tblDecision[Decision]
)
)</f>
        <v>Approve</v>
      </c>
    </row>
    <row r="56" spans="1:22" x14ac:dyDescent="0.25">
      <c r="A56" t="s">
        <v>155</v>
      </c>
      <c r="B56" t="str">
        <f>IFERROR(_xlfn.XLOOKUP($A56,tblCustomers[Customer ID],tblCustomers[Customer Type]),"")</f>
        <v>Individual</v>
      </c>
      <c r="C56" t="str">
        <f>IFERROR(_xlfn.XLOOKUP($A56,tblCustomers[Customer ID],tblCustomers[Country]),"")</f>
        <v>United States</v>
      </c>
      <c r="D56" t="str">
        <f>IFERROR(_xlfn.XLOOKUP($A56,tblCustomers[Customer ID],tblCustomers[Occupation/Industry]),"")</f>
        <v>Engineer</v>
      </c>
      <c r="E56" t="str">
        <f>IFERROR(_xlfn.XLOOKUP($A56,tblCustomers[Customer ID],tblCustomers[Product Requested]),"")</f>
        <v>Corporate Account</v>
      </c>
      <c r="F56" t="str">
        <f>IFERROR(_xlfn.XLOOKUP($A56,tblCustomers[Customer ID],tblCustomers[Delivery Channel]),"")</f>
        <v>Relationship Manager</v>
      </c>
      <c r="G56" t="str">
        <f>IFERROR(_xlfn.XLOOKUP($A56,tblScreening[Customer ID],tblScreening[Screening Result]),"")</f>
        <v>Clear</v>
      </c>
      <c r="H56">
        <f>IFERROR(_xlfn.XLOOKUP(B56,tblCustomerType[Customer Type],tblCustomerType[Risk Score]),0)</f>
        <v>2</v>
      </c>
      <c r="I56">
        <f>IFERROR(_xlfn.XLOOKUP(C56,tblCountryRisk[Country],tblCountryRisk[Risk Score]),0)</f>
        <v>1</v>
      </c>
      <c r="J56">
        <f>IFERROR(_xlfn.XLOOKUP(D56,tblOccupationRisk[Occupation],tblOccupationRisk[Risk Score]),0)</f>
        <v>0</v>
      </c>
      <c r="K56">
        <f>IFERROR(_xlfn.XLOOKUP(E56,tblProductRisk[Product],tblProductRisk[Risk Score]),0)</f>
        <v>3</v>
      </c>
      <c r="L56">
        <f>IFERROR(_xlfn.XLOOKUP(F56,tblChannelRisk[Channel],tblChannelRisk[Risk Score]),0)</f>
        <v>2</v>
      </c>
      <c r="M56">
        <f>IFERROR(_xlfn.XLOOKUP(G56,tblScreeningRisk[Screening Result],tblScreeningRisk[Risk Score]),0)</f>
        <v>1</v>
      </c>
      <c r="N56">
        <f>IFERROR(
_xlfn.MAXIFS(
'[1]Transaction Monitoring'!Q:Q,
'[1]Transaction Monitoring'!B:B,
A56
),
1
)</f>
        <v>1</v>
      </c>
      <c r="O56">
        <f t="shared" si="0"/>
        <v>10</v>
      </c>
      <c r="P56" t="str" cm="1">
        <f t="array" ref="P56">_xlfn.IFS(
O56&lt;=12,"Low",
O56&lt;=20,"Medium",
O56&lt;=30,"High",
TRUE,"Very High"
)</f>
        <v>Low</v>
      </c>
      <c r="Q56" t="str" cm="1">
        <f t="array" ref="Q56">_xlfn.IFS(
G56="Reject","EDD",
R56="Potential Match","EDD",
G56="EDD Review","EDD",
AND(S56="Yes",I56&gt;=4),"EDD",
T56="No","EDD",
TRUE,
_xlfn.XLOOKUP(
P56,
tblDueDiligence[Risk Rating],
tblDueDiligence[Due Diligence]
)
)</f>
        <v>SDD</v>
      </c>
      <c r="R56" t="str">
        <f>IFERROR(
_xlfn.XLOOKUP($A56,
tblScreening[Customer ID],
tblScreening[Sanction Match]),
"")</f>
        <v>No Match</v>
      </c>
      <c r="S56" t="str">
        <f>IFERROR(
_xlfn.XLOOKUP($A56,
tblScreening[Customer ID],
tblScreening[PEP]),
"")</f>
        <v>No</v>
      </c>
      <c r="T56" t="str">
        <f>IFERROR(
_xlfn.XLOOKUP($A56,
tblScreening[Customer ID],
tblScreening[Source of Wealth Obtained]),
"")</f>
        <v>Yes</v>
      </c>
      <c r="U56" t="str" cm="1">
        <f t="array" ref="U56">_xlfn.IFS(
G56="Reject","Screening Rejected",
R56="Potential Match","Potential Sanctions Match",
AND(S56="Yes",I56&gt;=4),"PEP in High-Risk Country",
T56="No","Missing Source of Wealth",
G56="EDD Review","EDD Review Required",
TRUE,"None"
)</f>
        <v>None</v>
      </c>
      <c r="V56" t="str" cm="1">
        <f t="array" ref="V56">_xlfn.IFS(
G56="Reject","Reject",
R56="Potential Match","Reject",
G56="EDD Review","Escalate",
AND(S56="Yes",I56&gt;=4),"Escalate",
T56="No","Escalate",
TRUE,
_xlfn.XLOOKUP(
Q56,
tblDecision[Due Diligence],
tblDecision[Decision]
)
)</f>
        <v>Approve</v>
      </c>
    </row>
    <row r="57" spans="1:22" x14ac:dyDescent="0.25">
      <c r="A57" t="s">
        <v>157</v>
      </c>
      <c r="B57" t="str">
        <f>IFERROR(_xlfn.XLOOKUP($A57,tblCustomers[Customer ID],tblCustomers[Customer Type]),"")</f>
        <v>Individual</v>
      </c>
      <c r="C57" t="str">
        <f>IFERROR(_xlfn.XLOOKUP($A57,tblCustomers[Customer ID],tblCustomers[Country]),"")</f>
        <v>Ghana</v>
      </c>
      <c r="D57" t="str">
        <f>IFERROR(_xlfn.XLOOKUP($A57,tblCustomers[Customer ID],tblCustomers[Occupation/Industry]),"")</f>
        <v>Student</v>
      </c>
      <c r="E57" t="str">
        <f>IFERROR(_xlfn.XLOOKUP($A57,tblCustomers[Customer ID],tblCustomers[Product Requested]),"")</f>
        <v>Fixed Deposit</v>
      </c>
      <c r="F57" t="str">
        <f>IFERROR(_xlfn.XLOOKUP($A57,tblCustomers[Customer ID],tblCustomers[Delivery Channel]),"")</f>
        <v>Mobile App</v>
      </c>
      <c r="G57" t="str">
        <f>IFERROR(_xlfn.XLOOKUP($A57,tblScreening[Customer ID],tblScreening[Screening Result]),"")</f>
        <v>Reject</v>
      </c>
      <c r="H57">
        <f>IFERROR(_xlfn.XLOOKUP(B57,tblCustomerType[Customer Type],tblCustomerType[Risk Score]),0)</f>
        <v>2</v>
      </c>
      <c r="I57">
        <f>IFERROR(_xlfn.XLOOKUP(C57,tblCountryRisk[Country],tblCountryRisk[Risk Score]),0)</f>
        <v>2</v>
      </c>
      <c r="J57">
        <f>IFERROR(_xlfn.XLOOKUP(D57,tblOccupationRisk[Occupation],tblOccupationRisk[Risk Score]),0)</f>
        <v>1</v>
      </c>
      <c r="K57">
        <f>IFERROR(_xlfn.XLOOKUP(E57,tblProductRisk[Product],tblProductRisk[Risk Score]),0)</f>
        <v>2</v>
      </c>
      <c r="L57">
        <f>IFERROR(_xlfn.XLOOKUP(F57,tblChannelRisk[Channel],tblChannelRisk[Risk Score]),0)</f>
        <v>3</v>
      </c>
      <c r="M57">
        <f>IFERROR(_xlfn.XLOOKUP(G57,tblScreeningRisk[Screening Result],tblScreeningRisk[Risk Score]),0)</f>
        <v>10</v>
      </c>
      <c r="N57">
        <f>IFERROR(
_xlfn.MAXIFS(
'[1]Transaction Monitoring'!Q:Q,
'[1]Transaction Monitoring'!B:B,
A57
),
1
)</f>
        <v>1</v>
      </c>
      <c r="O57">
        <f t="shared" si="0"/>
        <v>21</v>
      </c>
      <c r="P57" t="str" cm="1">
        <f t="array" ref="P57">_xlfn.IFS(
O57&lt;=12,"Low",
O57&lt;=20,"Medium",
O57&lt;=30,"High",
TRUE,"Very High"
)</f>
        <v>High</v>
      </c>
      <c r="Q57" t="str" cm="1">
        <f t="array" ref="Q57">_xlfn.IFS(
G57="Reject","EDD",
R57="Potential Match","EDD",
G57="EDD Review","EDD",
AND(S57="Yes",I57&gt;=4),"EDD",
T57="No","EDD",
TRUE,
_xlfn.XLOOKUP(
P57,
tblDueDiligence[Risk Rating],
tblDueDiligence[Due Diligence]
)
)</f>
        <v>EDD</v>
      </c>
      <c r="R57" t="str">
        <f>IFERROR(
_xlfn.XLOOKUP($A57,
tblScreening[Customer ID],
tblScreening[Sanction Match]),
"")</f>
        <v>Potential Match</v>
      </c>
      <c r="S57" t="str">
        <f>IFERROR(
_xlfn.XLOOKUP($A57,
tblScreening[Customer ID],
tblScreening[PEP]),
"")</f>
        <v>No</v>
      </c>
      <c r="T57" t="str">
        <f>IFERROR(
_xlfn.XLOOKUP($A57,
tblScreening[Customer ID],
tblScreening[Source of Wealth Obtained]),
"")</f>
        <v>Yes</v>
      </c>
      <c r="U57" t="str" cm="1">
        <f t="array" ref="U57">_xlfn.IFS(
G57="Reject","Screening Rejected",
R57="Potential Match","Potential Sanctions Match",
AND(S57="Yes",I57&gt;=4),"PEP in High-Risk Country",
T57="No","Missing Source of Wealth",
G57="EDD Review","EDD Review Required",
TRUE,"None"
)</f>
        <v>Screening Rejected</v>
      </c>
      <c r="V57" t="str" cm="1">
        <f t="array" ref="V57">_xlfn.IFS(
G57="Reject","Reject",
R57="Potential Match","Reject",
G57="EDD Review","Escalate",
AND(S57="Yes",I57&gt;=4),"Escalate",
T57="No","Escalate",
TRUE,
_xlfn.XLOOKUP(
Q57,
tblDecision[Due Diligence],
tblDecision[Decision]
)
)</f>
        <v>Reject</v>
      </c>
    </row>
    <row r="58" spans="1:22" x14ac:dyDescent="0.25">
      <c r="A58" t="s">
        <v>159</v>
      </c>
      <c r="B58" t="str">
        <f>IFERROR(_xlfn.XLOOKUP($A58,tblCustomers[Customer ID],tblCustomers[Customer Type]),"")</f>
        <v>Individual</v>
      </c>
      <c r="C58" t="str">
        <f>IFERROR(_xlfn.XLOOKUP($A58,tblCustomers[Customer ID],tblCustomers[Country]),"")</f>
        <v>South Africa</v>
      </c>
      <c r="D58" t="str">
        <f>IFERROR(_xlfn.XLOOKUP($A58,tblCustomers[Customer ID],tblCustomers[Occupation/Industry]),"")</f>
        <v>Journalist</v>
      </c>
      <c r="E58" t="str">
        <f>IFERROR(_xlfn.XLOOKUP($A58,tblCustomers[Customer ID],tblCustomers[Product Requested]),"")</f>
        <v>Savings</v>
      </c>
      <c r="F58" t="str">
        <f>IFERROR(_xlfn.XLOOKUP($A58,tblCustomers[Customer ID],tblCustomers[Delivery Channel]),"")</f>
        <v>Online</v>
      </c>
      <c r="G58" t="str">
        <f>IFERROR(_xlfn.XLOOKUP($A58,tblScreening[Customer ID],tblScreening[Screening Result]),"")</f>
        <v>EDD Review</v>
      </c>
      <c r="H58">
        <f>IFERROR(_xlfn.XLOOKUP(B58,tblCustomerType[Customer Type],tblCustomerType[Risk Score]),0)</f>
        <v>2</v>
      </c>
      <c r="I58">
        <f>IFERROR(_xlfn.XLOOKUP(C58,tblCountryRisk[Country],tblCountryRisk[Risk Score]),0)</f>
        <v>2</v>
      </c>
      <c r="J58">
        <f>IFERROR(_xlfn.XLOOKUP(D58,tblOccupationRisk[Occupation],tblOccupationRisk[Risk Score]),0)</f>
        <v>2</v>
      </c>
      <c r="K58">
        <f>IFERROR(_xlfn.XLOOKUP(E58,tblProductRisk[Product],tblProductRisk[Risk Score]),0)</f>
        <v>1</v>
      </c>
      <c r="L58">
        <f>IFERROR(_xlfn.XLOOKUP(F58,tblChannelRisk[Channel],tblChannelRisk[Risk Score]),0)</f>
        <v>3</v>
      </c>
      <c r="M58">
        <f>IFERROR(_xlfn.XLOOKUP(G58,tblScreeningRisk[Screening Result],tblScreeningRisk[Risk Score]),0)</f>
        <v>5</v>
      </c>
      <c r="N58">
        <f>IFERROR(
_xlfn.MAXIFS(
'[1]Transaction Monitoring'!Q:Q,
'[1]Transaction Monitoring'!B:B,
A58
),
1
)</f>
        <v>1</v>
      </c>
      <c r="O58">
        <f t="shared" si="0"/>
        <v>16</v>
      </c>
      <c r="P58" t="str" cm="1">
        <f t="array" ref="P58">_xlfn.IFS(
O58&lt;=12,"Low",
O58&lt;=20,"Medium",
O58&lt;=30,"High",
TRUE,"Very High"
)</f>
        <v>Medium</v>
      </c>
      <c r="Q58" t="str" cm="1">
        <f t="array" ref="Q58">_xlfn.IFS(
G58="Reject","EDD",
R58="Potential Match","EDD",
G58="EDD Review","EDD",
AND(S58="Yes",I58&gt;=4),"EDD",
T58="No","EDD",
TRUE,
_xlfn.XLOOKUP(
P58,
tblDueDiligence[Risk Rating],
tblDueDiligence[Due Diligence]
)
)</f>
        <v>EDD</v>
      </c>
      <c r="R58" t="str">
        <f>IFERROR(
_xlfn.XLOOKUP($A58,
tblScreening[Customer ID],
tblScreening[Sanction Match]),
"")</f>
        <v>No Match</v>
      </c>
      <c r="S58" t="str">
        <f>IFERROR(
_xlfn.XLOOKUP($A58,
tblScreening[Customer ID],
tblScreening[PEP]),
"")</f>
        <v>Yes</v>
      </c>
      <c r="T58" t="str">
        <f>IFERROR(
_xlfn.XLOOKUP($A58,
tblScreening[Customer ID],
tblScreening[Source of Wealth Obtained]),
"")</f>
        <v>Yes</v>
      </c>
      <c r="U58" t="str" cm="1">
        <f t="array" ref="U58">_xlfn.IFS(
G58="Reject","Screening Rejected",
R58="Potential Match","Potential Sanctions Match",
AND(S58="Yes",I58&gt;=4),"PEP in High-Risk Country",
T58="No","Missing Source of Wealth",
G58="EDD Review","EDD Review Required",
TRUE,"None"
)</f>
        <v>EDD Review Required</v>
      </c>
      <c r="V58" t="str" cm="1">
        <f t="array" ref="V58">_xlfn.IFS(
G58="Reject","Reject",
R58="Potential Match","Reject",
G58="EDD Review","Escalate",
AND(S58="Yes",I58&gt;=4),"Escalate",
T58="No","Escalate",
TRUE,
_xlfn.XLOOKUP(
Q58,
tblDecision[Due Diligence],
tblDecision[Decision]
)
)</f>
        <v>Escalate</v>
      </c>
    </row>
    <row r="59" spans="1:22" x14ac:dyDescent="0.25">
      <c r="A59" t="s">
        <v>160</v>
      </c>
      <c r="B59" t="str">
        <f>IFERROR(_xlfn.XLOOKUP($A59,tblCustomers[Customer ID],tblCustomers[Customer Type]),"")</f>
        <v>Individual</v>
      </c>
      <c r="C59" t="str">
        <f>IFERROR(_xlfn.XLOOKUP($A59,tblCustomers[Customer ID],tblCustomers[Country]),"")</f>
        <v>United States</v>
      </c>
      <c r="D59" t="str">
        <f>IFERROR(_xlfn.XLOOKUP($A59,tblCustomers[Customer ID],tblCustomers[Occupation/Industry]),"")</f>
        <v>Civil Servant</v>
      </c>
      <c r="E59" t="str">
        <f>IFERROR(_xlfn.XLOOKUP($A59,tblCustomers[Customer ID],tblCustomers[Product Requested]),"")</f>
        <v>Trade Finance</v>
      </c>
      <c r="F59" t="str">
        <f>IFERROR(_xlfn.XLOOKUP($A59,tblCustomers[Customer ID],tblCustomers[Delivery Channel]),"")</f>
        <v>Branch</v>
      </c>
      <c r="G59" t="str">
        <f>IFERROR(_xlfn.XLOOKUP($A59,tblScreening[Customer ID],tblScreening[Screening Result]),"")</f>
        <v>Clear</v>
      </c>
      <c r="H59">
        <f>IFERROR(_xlfn.XLOOKUP(B59,tblCustomerType[Customer Type],tblCustomerType[Risk Score]),0)</f>
        <v>2</v>
      </c>
      <c r="I59">
        <f>IFERROR(_xlfn.XLOOKUP(C59,tblCountryRisk[Country],tblCountryRisk[Risk Score]),0)</f>
        <v>1</v>
      </c>
      <c r="J59">
        <f>IFERROR(_xlfn.XLOOKUP(D59,tblOccupationRisk[Occupation],tblOccupationRisk[Risk Score]),0)</f>
        <v>1</v>
      </c>
      <c r="K59">
        <f>IFERROR(_xlfn.XLOOKUP(E59,tblProductRisk[Product],tblProductRisk[Risk Score]),0)</f>
        <v>4</v>
      </c>
      <c r="L59">
        <f>IFERROR(_xlfn.XLOOKUP(F59,tblChannelRisk[Channel],tblChannelRisk[Risk Score]),0)</f>
        <v>1</v>
      </c>
      <c r="M59">
        <f>IFERROR(_xlfn.XLOOKUP(G59,tblScreeningRisk[Screening Result],tblScreeningRisk[Risk Score]),0)</f>
        <v>1</v>
      </c>
      <c r="N59">
        <f>IFERROR(
_xlfn.MAXIFS(
'[1]Transaction Monitoring'!Q:Q,
'[1]Transaction Monitoring'!B:B,
A59
),
1
)</f>
        <v>1</v>
      </c>
      <c r="O59">
        <f t="shared" si="0"/>
        <v>11</v>
      </c>
      <c r="P59" t="str" cm="1">
        <f t="array" ref="P59">_xlfn.IFS(
O59&lt;=12,"Low",
O59&lt;=20,"Medium",
O59&lt;=30,"High",
TRUE,"Very High"
)</f>
        <v>Low</v>
      </c>
      <c r="Q59" t="str" cm="1">
        <f t="array" ref="Q59">_xlfn.IFS(
G59="Reject","EDD",
R59="Potential Match","EDD",
G59="EDD Review","EDD",
AND(S59="Yes",I59&gt;=4),"EDD",
T59="No","EDD",
TRUE,
_xlfn.XLOOKUP(
P59,
tblDueDiligence[Risk Rating],
tblDueDiligence[Due Diligence]
)
)</f>
        <v>SDD</v>
      </c>
      <c r="R59" t="str">
        <f>IFERROR(
_xlfn.XLOOKUP($A59,
tblScreening[Customer ID],
tblScreening[Sanction Match]),
"")</f>
        <v>No Match</v>
      </c>
      <c r="S59" t="str">
        <f>IFERROR(
_xlfn.XLOOKUP($A59,
tblScreening[Customer ID],
tblScreening[PEP]),
"")</f>
        <v>No</v>
      </c>
      <c r="T59" t="str">
        <f>IFERROR(
_xlfn.XLOOKUP($A59,
tblScreening[Customer ID],
tblScreening[Source of Wealth Obtained]),
"")</f>
        <v>Yes</v>
      </c>
      <c r="U59" t="str" cm="1">
        <f t="array" ref="U59">_xlfn.IFS(
G59="Reject","Screening Rejected",
R59="Potential Match","Potential Sanctions Match",
AND(S59="Yes",I59&gt;=4),"PEP in High-Risk Country",
T59="No","Missing Source of Wealth",
G59="EDD Review","EDD Review Required",
TRUE,"None"
)</f>
        <v>None</v>
      </c>
      <c r="V59" t="str" cm="1">
        <f t="array" ref="V59">_xlfn.IFS(
G59="Reject","Reject",
R59="Potential Match","Reject",
G59="EDD Review","Escalate",
AND(S59="Yes",I59&gt;=4),"Escalate",
T59="No","Escalate",
TRUE,
_xlfn.XLOOKUP(
Q59,
tblDecision[Due Diligence],
tblDecision[Decision]
)
)</f>
        <v>Approve</v>
      </c>
    </row>
    <row r="60" spans="1:22" x14ac:dyDescent="0.25">
      <c r="A60" t="s">
        <v>162</v>
      </c>
      <c r="B60" t="str">
        <f>IFERROR(_xlfn.XLOOKUP($A60,tblCustomers[Customer ID],tblCustomers[Customer Type]),"")</f>
        <v>Individual</v>
      </c>
      <c r="C60" t="str">
        <f>IFERROR(_xlfn.XLOOKUP($A60,tblCustomers[Customer ID],tblCustomers[Country]),"")</f>
        <v>Canada</v>
      </c>
      <c r="D60" t="str">
        <f>IFERROR(_xlfn.XLOOKUP($A60,tblCustomers[Customer ID],tblCustomers[Occupation/Industry]),"")</f>
        <v>Doctor</v>
      </c>
      <c r="E60" t="str">
        <f>IFERROR(_xlfn.XLOOKUP($A60,tblCustomers[Customer ID],tblCustomers[Product Requested]),"")</f>
        <v>Investment</v>
      </c>
      <c r="F60" t="str">
        <f>IFERROR(_xlfn.XLOOKUP($A60,tblCustomers[Customer ID],tblCustomers[Delivery Channel]),"")</f>
        <v>Relationship Manager</v>
      </c>
      <c r="G60" t="str">
        <f>IFERROR(_xlfn.XLOOKUP($A60,tblScreening[Customer ID],tblScreening[Screening Result]),"")</f>
        <v>Review</v>
      </c>
      <c r="H60">
        <f>IFERROR(_xlfn.XLOOKUP(B60,tblCustomerType[Customer Type],tblCustomerType[Risk Score]),0)</f>
        <v>2</v>
      </c>
      <c r="I60">
        <f>IFERROR(_xlfn.XLOOKUP(C60,tblCountryRisk[Country],tblCountryRisk[Risk Score]),0)</f>
        <v>1</v>
      </c>
      <c r="J60">
        <f>IFERROR(_xlfn.XLOOKUP(D60,tblOccupationRisk[Occupation],tblOccupationRisk[Risk Score]),0)</f>
        <v>0</v>
      </c>
      <c r="K60">
        <f>IFERROR(_xlfn.XLOOKUP(E60,tblProductRisk[Product],tblProductRisk[Risk Score]),0)</f>
        <v>3</v>
      </c>
      <c r="L60">
        <f>IFERROR(_xlfn.XLOOKUP(F60,tblChannelRisk[Channel],tblChannelRisk[Risk Score]),0)</f>
        <v>2</v>
      </c>
      <c r="M60">
        <f>IFERROR(_xlfn.XLOOKUP(G60,tblScreeningRisk[Screening Result],tblScreeningRisk[Risk Score]),0)</f>
        <v>3</v>
      </c>
      <c r="N60">
        <f>IFERROR(
_xlfn.MAXIFS(
'[1]Transaction Monitoring'!Q:Q,
'[1]Transaction Monitoring'!B:B,
A60
),
1
)</f>
        <v>1</v>
      </c>
      <c r="O60">
        <f t="shared" si="0"/>
        <v>12</v>
      </c>
      <c r="P60" t="str" cm="1">
        <f t="array" ref="P60">_xlfn.IFS(
O60&lt;=12,"Low",
O60&lt;=20,"Medium",
O60&lt;=30,"High",
TRUE,"Very High"
)</f>
        <v>Low</v>
      </c>
      <c r="Q60" t="str" cm="1">
        <f t="array" ref="Q60">_xlfn.IFS(
G60="Reject","EDD",
R60="Potential Match","EDD",
G60="EDD Review","EDD",
AND(S60="Yes",I60&gt;=4),"EDD",
T60="No","EDD",
TRUE,
_xlfn.XLOOKUP(
P60,
tblDueDiligence[Risk Rating],
tblDueDiligence[Due Diligence]
)
)</f>
        <v>EDD</v>
      </c>
      <c r="R60" t="str">
        <f>IFERROR(
_xlfn.XLOOKUP($A60,
tblScreening[Customer ID],
tblScreening[Sanction Match]),
"")</f>
        <v>No Match</v>
      </c>
      <c r="S60" t="str">
        <f>IFERROR(
_xlfn.XLOOKUP($A60,
tblScreening[Customer ID],
tblScreening[PEP]),
"")</f>
        <v>Yes</v>
      </c>
      <c r="T60" t="str">
        <f>IFERROR(
_xlfn.XLOOKUP($A60,
tblScreening[Customer ID],
tblScreening[Source of Wealth Obtained]),
"")</f>
        <v>No</v>
      </c>
      <c r="U60" t="str" cm="1">
        <f t="array" ref="U60">_xlfn.IFS(
G60="Reject","Screening Rejected",
R60="Potential Match","Potential Sanctions Match",
AND(S60="Yes",I60&gt;=4),"PEP in High-Risk Country",
T60="No","Missing Source of Wealth",
G60="EDD Review","EDD Review Required",
TRUE,"None"
)</f>
        <v>Missing Source of Wealth</v>
      </c>
      <c r="V60" t="str" cm="1">
        <f t="array" ref="V60">_xlfn.IFS(
G60="Reject","Reject",
R60="Potential Match","Reject",
G60="EDD Review","Escalate",
AND(S60="Yes",I60&gt;=4),"Escalate",
T60="No","Escalate",
TRUE,
_xlfn.XLOOKUP(
Q60,
tblDecision[Due Diligence],
tblDecision[Decision]
)
)</f>
        <v>Escalate</v>
      </c>
    </row>
    <row r="61" spans="1:22" x14ac:dyDescent="0.25">
      <c r="A61" t="s">
        <v>163</v>
      </c>
      <c r="B61" t="str">
        <f>IFERROR(_xlfn.XLOOKUP($A61,tblCustomers[Customer ID],tblCustomers[Customer Type]),"")</f>
        <v>Individual</v>
      </c>
      <c r="C61" t="str">
        <f>IFERROR(_xlfn.XLOOKUP($A61,tblCustomers[Customer ID],tblCustomers[Country]),"")</f>
        <v>Canada</v>
      </c>
      <c r="D61" t="str">
        <f>IFERROR(_xlfn.XLOOKUP($A61,tblCustomers[Customer ID],tblCustomers[Occupation/Industry]),"")</f>
        <v>Architect</v>
      </c>
      <c r="E61" t="str">
        <f>IFERROR(_xlfn.XLOOKUP($A61,tblCustomers[Customer ID],tblCustomers[Product Requested]),"")</f>
        <v>Fixed Deposit</v>
      </c>
      <c r="F61" t="str">
        <f>IFERROR(_xlfn.XLOOKUP($A61,tblCustomers[Customer ID],tblCustomers[Delivery Channel]),"")</f>
        <v>Mobile App</v>
      </c>
      <c r="G61" t="str">
        <f>IFERROR(_xlfn.XLOOKUP($A61,tblScreening[Customer ID],tblScreening[Screening Result]),"")</f>
        <v>Clear</v>
      </c>
      <c r="H61">
        <f>IFERROR(_xlfn.XLOOKUP(B61,tblCustomerType[Customer Type],tblCustomerType[Risk Score]),0)</f>
        <v>2</v>
      </c>
      <c r="I61">
        <f>IFERROR(_xlfn.XLOOKUP(C61,tblCountryRisk[Country],tblCountryRisk[Risk Score]),0)</f>
        <v>1</v>
      </c>
      <c r="J61">
        <f>IFERROR(_xlfn.XLOOKUP(D61,tblOccupationRisk[Occupation],tblOccupationRisk[Risk Score]),0)</f>
        <v>1</v>
      </c>
      <c r="K61">
        <f>IFERROR(_xlfn.XLOOKUP(E61,tblProductRisk[Product],tblProductRisk[Risk Score]),0)</f>
        <v>2</v>
      </c>
      <c r="L61">
        <f>IFERROR(_xlfn.XLOOKUP(F61,tblChannelRisk[Channel],tblChannelRisk[Risk Score]),0)</f>
        <v>3</v>
      </c>
      <c r="M61">
        <f>IFERROR(_xlfn.XLOOKUP(G61,tblScreeningRisk[Screening Result],tblScreeningRisk[Risk Score]),0)</f>
        <v>1</v>
      </c>
      <c r="N61">
        <f>IFERROR(
_xlfn.MAXIFS(
'[1]Transaction Monitoring'!Q:Q,
'[1]Transaction Monitoring'!B:B,
A61
),
1
)</f>
        <v>1</v>
      </c>
      <c r="O61">
        <f t="shared" si="0"/>
        <v>11</v>
      </c>
      <c r="P61" t="str" cm="1">
        <f t="array" ref="P61">_xlfn.IFS(
O61&lt;=12,"Low",
O61&lt;=20,"Medium",
O61&lt;=30,"High",
TRUE,"Very High"
)</f>
        <v>Low</v>
      </c>
      <c r="Q61" t="str" cm="1">
        <f t="array" ref="Q61">_xlfn.IFS(
G61="Reject","EDD",
R61="Potential Match","EDD",
G61="EDD Review","EDD",
AND(S61="Yes",I61&gt;=4),"EDD",
T61="No","EDD",
TRUE,
_xlfn.XLOOKUP(
P61,
tblDueDiligence[Risk Rating],
tblDueDiligence[Due Diligence]
)
)</f>
        <v>SDD</v>
      </c>
      <c r="R61" t="str">
        <f>IFERROR(
_xlfn.XLOOKUP($A61,
tblScreening[Customer ID],
tblScreening[Sanction Match]),
"")</f>
        <v>No Match</v>
      </c>
      <c r="S61" t="str">
        <f>IFERROR(
_xlfn.XLOOKUP($A61,
tblScreening[Customer ID],
tblScreening[PEP]),
"")</f>
        <v>No</v>
      </c>
      <c r="T61" t="str">
        <f>IFERROR(
_xlfn.XLOOKUP($A61,
tblScreening[Customer ID],
tblScreening[Source of Wealth Obtained]),
"")</f>
        <v>Yes</v>
      </c>
      <c r="U61" t="str" cm="1">
        <f t="array" ref="U61">_xlfn.IFS(
G61="Reject","Screening Rejected",
R61="Potential Match","Potential Sanctions Match",
AND(S61="Yes",I61&gt;=4),"PEP in High-Risk Country",
T61="No","Missing Source of Wealth",
G61="EDD Review","EDD Review Required",
TRUE,"None"
)</f>
        <v>None</v>
      </c>
      <c r="V61" t="str" cm="1">
        <f t="array" ref="V61">_xlfn.IFS(
G61="Reject","Reject",
R61="Potential Match","Reject",
G61="EDD Review","Escalate",
AND(S61="Yes",I61&gt;=4),"Escalate",
T61="No","Escalate",
TRUE,
_xlfn.XLOOKUP(
Q61,
tblDecision[Due Diligence],
tblDecision[Decision]
)
)</f>
        <v>Approve</v>
      </c>
    </row>
    <row r="62" spans="1:22" x14ac:dyDescent="0.25">
      <c r="A62" t="s">
        <v>165</v>
      </c>
      <c r="B62" t="str">
        <f>IFERROR(_xlfn.XLOOKUP($A62,tblCustomers[Customer ID],tblCustomers[Customer Type]),"")</f>
        <v>Individual</v>
      </c>
      <c r="C62" t="str">
        <f>IFERROR(_xlfn.XLOOKUP($A62,tblCustomers[Customer ID],tblCustomers[Country]),"")</f>
        <v>Nigeria</v>
      </c>
      <c r="D62" t="str">
        <f>IFERROR(_xlfn.XLOOKUP($A62,tblCustomers[Customer ID],tblCustomers[Occupation/Industry]),"")</f>
        <v>Teacher</v>
      </c>
      <c r="E62" t="str">
        <f>IFERROR(_xlfn.XLOOKUP($A62,tblCustomers[Customer ID],tblCustomers[Product Requested]),"")</f>
        <v>Corporate Account</v>
      </c>
      <c r="F62" t="str">
        <f>IFERROR(_xlfn.XLOOKUP($A62,tblCustomers[Customer ID],tblCustomers[Delivery Channel]),"")</f>
        <v>Mobile App</v>
      </c>
      <c r="G62" t="str">
        <f>IFERROR(_xlfn.XLOOKUP($A62,tblScreening[Customer ID],tblScreening[Screening Result]),"")</f>
        <v>Review</v>
      </c>
      <c r="H62">
        <f>IFERROR(_xlfn.XLOOKUP(B62,tblCustomerType[Customer Type],tblCustomerType[Risk Score]),0)</f>
        <v>2</v>
      </c>
      <c r="I62">
        <f>IFERROR(_xlfn.XLOOKUP(C62,tblCountryRisk[Country],tblCountryRisk[Risk Score]),0)</f>
        <v>2</v>
      </c>
      <c r="J62">
        <f>IFERROR(_xlfn.XLOOKUP(D62,tblOccupationRisk[Occupation],tblOccupationRisk[Risk Score]),0)</f>
        <v>1</v>
      </c>
      <c r="K62">
        <f>IFERROR(_xlfn.XLOOKUP(E62,tblProductRisk[Product],tblProductRisk[Risk Score]),0)</f>
        <v>3</v>
      </c>
      <c r="L62">
        <f>IFERROR(_xlfn.XLOOKUP(F62,tblChannelRisk[Channel],tblChannelRisk[Risk Score]),0)</f>
        <v>3</v>
      </c>
      <c r="M62">
        <f>IFERROR(_xlfn.XLOOKUP(G62,tblScreeningRisk[Screening Result],tblScreeningRisk[Risk Score]),0)</f>
        <v>3</v>
      </c>
      <c r="N62">
        <f>IFERROR(
_xlfn.MAXIFS(
'[1]Transaction Monitoring'!Q:Q,
'[1]Transaction Monitoring'!B:B,
A62
),
1
)</f>
        <v>1</v>
      </c>
      <c r="O62">
        <f t="shared" si="0"/>
        <v>15</v>
      </c>
      <c r="P62" t="str" cm="1">
        <f t="array" ref="P62">_xlfn.IFS(
O62&lt;=12,"Low",
O62&lt;=20,"Medium",
O62&lt;=30,"High",
TRUE,"Very High"
)</f>
        <v>Medium</v>
      </c>
      <c r="Q62" t="str" cm="1">
        <f t="array" ref="Q62">_xlfn.IFS(
G62="Reject","EDD",
R62="Potential Match","EDD",
G62="EDD Review","EDD",
AND(S62="Yes",I62&gt;=4),"EDD",
T62="No","EDD",
TRUE,
_xlfn.XLOOKUP(
P62,
tblDueDiligence[Risk Rating],
tblDueDiligence[Due Diligence]
)
)</f>
        <v>CDD</v>
      </c>
      <c r="R62" t="str">
        <f>IFERROR(
_xlfn.XLOOKUP($A62,
tblScreening[Customer ID],
tblScreening[Sanction Match]),
"")</f>
        <v>No Match</v>
      </c>
      <c r="S62" t="str">
        <f>IFERROR(
_xlfn.XLOOKUP($A62,
tblScreening[Customer ID],
tblScreening[PEP]),
"")</f>
        <v>No</v>
      </c>
      <c r="T62" t="str">
        <f>IFERROR(
_xlfn.XLOOKUP($A62,
tblScreening[Customer ID],
tblScreening[Source of Wealth Obtained]),
"")</f>
        <v>Yes</v>
      </c>
      <c r="U62" t="str" cm="1">
        <f t="array" ref="U62">_xlfn.IFS(
G62="Reject","Screening Rejected",
R62="Potential Match","Potential Sanctions Match",
AND(S62="Yes",I62&gt;=4),"PEP in High-Risk Country",
T62="No","Missing Source of Wealth",
G62="EDD Review","EDD Review Required",
TRUE,"None"
)</f>
        <v>None</v>
      </c>
      <c r="V62" t="str" cm="1">
        <f t="array" ref="V62">_xlfn.IFS(
G62="Reject","Reject",
R62="Potential Match","Reject",
G62="EDD Review","Escalate",
AND(S62="Yes",I62&gt;=4),"Escalate",
T62="No","Escalate",
TRUE,
_xlfn.XLOOKUP(
Q62,
tblDecision[Due Diligence],
tblDecision[Decision]
)
)</f>
        <v>Approve</v>
      </c>
    </row>
    <row r="63" spans="1:22" x14ac:dyDescent="0.25">
      <c r="A63" t="s">
        <v>167</v>
      </c>
      <c r="B63" t="str">
        <f>IFERROR(_xlfn.XLOOKUP($A63,tblCustomers[Customer ID],tblCustomers[Customer Type]),"")</f>
        <v>Individual</v>
      </c>
      <c r="C63" t="str">
        <f>IFERROR(_xlfn.XLOOKUP($A63,tblCustomers[Customer ID],tblCustomers[Country]),"")</f>
        <v>Ghana</v>
      </c>
      <c r="D63" t="str">
        <f>IFERROR(_xlfn.XLOOKUP($A63,tblCustomers[Customer ID],tblCustomers[Occupation/Industry]),"")</f>
        <v>Data Analyst</v>
      </c>
      <c r="E63" t="str">
        <f>IFERROR(_xlfn.XLOOKUP($A63,tblCustomers[Customer ID],tblCustomers[Product Requested]),"")</f>
        <v>Trade Finance</v>
      </c>
      <c r="F63" t="str">
        <f>IFERROR(_xlfn.XLOOKUP($A63,tblCustomers[Customer ID],tblCustomers[Delivery Channel]),"")</f>
        <v>Relationship Manager</v>
      </c>
      <c r="G63" t="str">
        <f>IFERROR(_xlfn.XLOOKUP($A63,tblScreening[Customer ID],tblScreening[Screening Result]),"")</f>
        <v>Review</v>
      </c>
      <c r="H63">
        <f>IFERROR(_xlfn.XLOOKUP(B63,tblCustomerType[Customer Type],tblCustomerType[Risk Score]),0)</f>
        <v>2</v>
      </c>
      <c r="I63">
        <f>IFERROR(_xlfn.XLOOKUP(C63,tblCountryRisk[Country],tblCountryRisk[Risk Score]),0)</f>
        <v>2</v>
      </c>
      <c r="J63">
        <f>IFERROR(_xlfn.XLOOKUP(D63,tblOccupationRisk[Occupation],tblOccupationRisk[Risk Score]),0)</f>
        <v>1</v>
      </c>
      <c r="K63">
        <f>IFERROR(_xlfn.XLOOKUP(E63,tblProductRisk[Product],tblProductRisk[Risk Score]),0)</f>
        <v>4</v>
      </c>
      <c r="L63">
        <f>IFERROR(_xlfn.XLOOKUP(F63,tblChannelRisk[Channel],tblChannelRisk[Risk Score]),0)</f>
        <v>2</v>
      </c>
      <c r="M63">
        <f>IFERROR(_xlfn.XLOOKUP(G63,tblScreeningRisk[Screening Result],tblScreeningRisk[Risk Score]),0)</f>
        <v>3</v>
      </c>
      <c r="N63">
        <f>IFERROR(
_xlfn.MAXIFS(
'[1]Transaction Monitoring'!Q:Q,
'[1]Transaction Monitoring'!B:B,
A63
),
1
)</f>
        <v>1</v>
      </c>
      <c r="O63">
        <f t="shared" si="0"/>
        <v>15</v>
      </c>
      <c r="P63" t="str" cm="1">
        <f t="array" ref="P63">_xlfn.IFS(
O63&lt;=12,"Low",
O63&lt;=20,"Medium",
O63&lt;=30,"High",
TRUE,"Very High"
)</f>
        <v>Medium</v>
      </c>
      <c r="Q63" t="str" cm="1">
        <f t="array" ref="Q63">_xlfn.IFS(
G63="Reject","EDD",
R63="Potential Match","EDD",
G63="EDD Review","EDD",
AND(S63="Yes",I63&gt;=4),"EDD",
T63="No","EDD",
TRUE,
_xlfn.XLOOKUP(
P63,
tblDueDiligence[Risk Rating],
tblDueDiligence[Due Diligence]
)
)</f>
        <v>CDD</v>
      </c>
      <c r="R63" t="str">
        <f>IFERROR(
_xlfn.XLOOKUP($A63,
tblScreening[Customer ID],
tblScreening[Sanction Match]),
"")</f>
        <v>No Match</v>
      </c>
      <c r="S63" t="str">
        <f>IFERROR(
_xlfn.XLOOKUP($A63,
tblScreening[Customer ID],
tblScreening[PEP]),
"")</f>
        <v>Yes</v>
      </c>
      <c r="T63" t="str">
        <f>IFERROR(
_xlfn.XLOOKUP($A63,
tblScreening[Customer ID],
tblScreening[Source of Wealth Obtained]),
"")</f>
        <v>Yes</v>
      </c>
      <c r="U63" t="str" cm="1">
        <f t="array" ref="U63">_xlfn.IFS(
G63="Reject","Screening Rejected",
R63="Potential Match","Potential Sanctions Match",
AND(S63="Yes",I63&gt;=4),"PEP in High-Risk Country",
T63="No","Missing Source of Wealth",
G63="EDD Review","EDD Review Required",
TRUE,"None"
)</f>
        <v>None</v>
      </c>
      <c r="V63" t="str" cm="1">
        <f t="array" ref="V63">_xlfn.IFS(
G63="Reject","Reject",
R63="Potential Match","Reject",
G63="EDD Review","Escalate",
AND(S63="Yes",I63&gt;=4),"Escalate",
T63="No","Escalate",
TRUE,
_xlfn.XLOOKUP(
Q63,
tblDecision[Due Diligence],
tblDecision[Decision]
)
)</f>
        <v>Approve</v>
      </c>
    </row>
    <row r="64" spans="1:22" x14ac:dyDescent="0.25">
      <c r="A64" t="s">
        <v>169</v>
      </c>
      <c r="B64" t="str">
        <f>IFERROR(_xlfn.XLOOKUP($A64,tblCustomers[Customer ID],tblCustomers[Customer Type]),"")</f>
        <v>Individual</v>
      </c>
      <c r="C64" t="str">
        <f>IFERROR(_xlfn.XLOOKUP($A64,tblCustomers[Customer ID],tblCustomers[Country]),"")</f>
        <v>UAE</v>
      </c>
      <c r="D64" t="str">
        <f>IFERROR(_xlfn.XLOOKUP($A64,tblCustomers[Customer ID],tblCustomers[Occupation/Industry]),"")</f>
        <v>Lawyer</v>
      </c>
      <c r="E64" t="str">
        <f>IFERROR(_xlfn.XLOOKUP($A64,tblCustomers[Customer ID],tblCustomers[Product Requested]),"")</f>
        <v>Fixed Deposit</v>
      </c>
      <c r="F64" t="str">
        <f>IFERROR(_xlfn.XLOOKUP($A64,tblCustomers[Customer ID],tblCustomers[Delivery Channel]),"")</f>
        <v>Online</v>
      </c>
      <c r="G64" t="str">
        <f>IFERROR(_xlfn.XLOOKUP($A64,tblScreening[Customer ID],tblScreening[Screening Result]),"")</f>
        <v>Review</v>
      </c>
      <c r="H64">
        <f>IFERROR(_xlfn.XLOOKUP(B64,tblCustomerType[Customer Type],tblCustomerType[Risk Score]),0)</f>
        <v>2</v>
      </c>
      <c r="I64">
        <f>IFERROR(_xlfn.XLOOKUP(C64,tblCountryRisk[Country],tblCountryRisk[Risk Score]),0)</f>
        <v>3</v>
      </c>
      <c r="J64">
        <f>IFERROR(_xlfn.XLOOKUP(D64,tblOccupationRisk[Occupation],tblOccupationRisk[Risk Score]),0)</f>
        <v>2</v>
      </c>
      <c r="K64">
        <f>IFERROR(_xlfn.XLOOKUP(E64,tblProductRisk[Product],tblProductRisk[Risk Score]),0)</f>
        <v>2</v>
      </c>
      <c r="L64">
        <f>IFERROR(_xlfn.XLOOKUP(F64,tblChannelRisk[Channel],tblChannelRisk[Risk Score]),0)</f>
        <v>3</v>
      </c>
      <c r="M64">
        <f>IFERROR(_xlfn.XLOOKUP(G64,tblScreeningRisk[Screening Result],tblScreeningRisk[Risk Score]),0)</f>
        <v>3</v>
      </c>
      <c r="N64">
        <f>IFERROR(
_xlfn.MAXIFS(
'[1]Transaction Monitoring'!Q:Q,
'[1]Transaction Monitoring'!B:B,
A64
),
1
)</f>
        <v>1</v>
      </c>
      <c r="O64">
        <f t="shared" si="0"/>
        <v>16</v>
      </c>
      <c r="P64" t="str" cm="1">
        <f t="array" ref="P64">_xlfn.IFS(
O64&lt;=12,"Low",
O64&lt;=20,"Medium",
O64&lt;=30,"High",
TRUE,"Very High"
)</f>
        <v>Medium</v>
      </c>
      <c r="Q64" t="str" cm="1">
        <f t="array" ref="Q64">_xlfn.IFS(
G64="Reject","EDD",
R64="Potential Match","EDD",
G64="EDD Review","EDD",
AND(S64="Yes",I64&gt;=4),"EDD",
T64="No","EDD",
TRUE,
_xlfn.XLOOKUP(
P64,
tblDueDiligence[Risk Rating],
tblDueDiligence[Due Diligence]
)
)</f>
        <v>CDD</v>
      </c>
      <c r="R64" t="str">
        <f>IFERROR(
_xlfn.XLOOKUP($A64,
tblScreening[Customer ID],
tblScreening[Sanction Match]),
"")</f>
        <v>No Match</v>
      </c>
      <c r="S64" t="str">
        <f>IFERROR(
_xlfn.XLOOKUP($A64,
tblScreening[Customer ID],
tblScreening[PEP]),
"")</f>
        <v>No</v>
      </c>
      <c r="T64" t="str">
        <f>IFERROR(
_xlfn.XLOOKUP($A64,
tblScreening[Customer ID],
tblScreening[Source of Wealth Obtained]),
"")</f>
        <v>Yes</v>
      </c>
      <c r="U64" t="str" cm="1">
        <f t="array" ref="U64">_xlfn.IFS(
G64="Reject","Screening Rejected",
R64="Potential Match","Potential Sanctions Match",
AND(S64="Yes",I64&gt;=4),"PEP in High-Risk Country",
T64="No","Missing Source of Wealth",
G64="EDD Review","EDD Review Required",
TRUE,"None"
)</f>
        <v>None</v>
      </c>
      <c r="V64" t="str" cm="1">
        <f t="array" ref="V64">_xlfn.IFS(
G64="Reject","Reject",
R64="Potential Match","Reject",
G64="EDD Review","Escalate",
AND(S64="Yes",I64&gt;=4),"Escalate",
T64="No","Escalate",
TRUE,
_xlfn.XLOOKUP(
Q64,
tblDecision[Due Diligence],
tblDecision[Decision]
)
)</f>
        <v>Approve</v>
      </c>
    </row>
    <row r="65" spans="1:22" x14ac:dyDescent="0.25">
      <c r="A65" t="s">
        <v>171</v>
      </c>
      <c r="B65" t="str">
        <f>IFERROR(_xlfn.XLOOKUP($A65,tblCustomers[Customer ID],tblCustomers[Customer Type]),"")</f>
        <v>Individual</v>
      </c>
      <c r="C65" t="str">
        <f>IFERROR(_xlfn.XLOOKUP($A65,tblCustomers[Customer ID],tblCustomers[Country]),"")</f>
        <v>United Kingdom</v>
      </c>
      <c r="D65" t="str">
        <f>IFERROR(_xlfn.XLOOKUP($A65,tblCustomers[Customer ID],tblCustomers[Occupation/Industry]),"")</f>
        <v>Architect</v>
      </c>
      <c r="E65" t="str">
        <f>IFERROR(_xlfn.XLOOKUP($A65,tblCustomers[Customer ID],tblCustomers[Product Requested]),"")</f>
        <v>Trade Finance</v>
      </c>
      <c r="F65" t="str">
        <f>IFERROR(_xlfn.XLOOKUP($A65,tblCustomers[Customer ID],tblCustomers[Delivery Channel]),"")</f>
        <v>Mobile App</v>
      </c>
      <c r="G65" t="str">
        <f>IFERROR(_xlfn.XLOOKUP($A65,tblScreening[Customer ID],tblScreening[Screening Result]),"")</f>
        <v>Review</v>
      </c>
      <c r="H65">
        <f>IFERROR(_xlfn.XLOOKUP(B65,tblCustomerType[Customer Type],tblCustomerType[Risk Score]),0)</f>
        <v>2</v>
      </c>
      <c r="I65">
        <f>IFERROR(_xlfn.XLOOKUP(C65,tblCountryRisk[Country],tblCountryRisk[Risk Score]),0)</f>
        <v>1</v>
      </c>
      <c r="J65">
        <f>IFERROR(_xlfn.XLOOKUP(D65,tblOccupationRisk[Occupation],tblOccupationRisk[Risk Score]),0)</f>
        <v>1</v>
      </c>
      <c r="K65">
        <f>IFERROR(_xlfn.XLOOKUP(E65,tblProductRisk[Product],tblProductRisk[Risk Score]),0)</f>
        <v>4</v>
      </c>
      <c r="L65">
        <f>IFERROR(_xlfn.XLOOKUP(F65,tblChannelRisk[Channel],tblChannelRisk[Risk Score]),0)</f>
        <v>3</v>
      </c>
      <c r="M65">
        <f>IFERROR(_xlfn.XLOOKUP(G65,tblScreeningRisk[Screening Result],tblScreeningRisk[Risk Score]),0)</f>
        <v>3</v>
      </c>
      <c r="N65">
        <f>IFERROR(
_xlfn.MAXIFS(
'[1]Transaction Monitoring'!Q:Q,
'[1]Transaction Monitoring'!B:B,
A65
),
1
)</f>
        <v>1</v>
      </c>
      <c r="O65">
        <f t="shared" si="0"/>
        <v>15</v>
      </c>
      <c r="P65" t="str" cm="1">
        <f t="array" ref="P65">_xlfn.IFS(
O65&lt;=12,"Low",
O65&lt;=20,"Medium",
O65&lt;=30,"High",
TRUE,"Very High"
)</f>
        <v>Medium</v>
      </c>
      <c r="Q65" t="str" cm="1">
        <f t="array" ref="Q65">_xlfn.IFS(
G65="Reject","EDD",
R65="Potential Match","EDD",
G65="EDD Review","EDD",
AND(S65="Yes",I65&gt;=4),"EDD",
T65="No","EDD",
TRUE,
_xlfn.XLOOKUP(
P65,
tblDueDiligence[Risk Rating],
tblDueDiligence[Due Diligence]
)
)</f>
        <v>CDD</v>
      </c>
      <c r="R65" t="str">
        <f>IFERROR(
_xlfn.XLOOKUP($A65,
tblScreening[Customer ID],
tblScreening[Sanction Match]),
"")</f>
        <v>No Match</v>
      </c>
      <c r="S65" t="str">
        <f>IFERROR(
_xlfn.XLOOKUP($A65,
tblScreening[Customer ID],
tblScreening[PEP]),
"")</f>
        <v>Yes</v>
      </c>
      <c r="T65" t="str">
        <f>IFERROR(
_xlfn.XLOOKUP($A65,
tblScreening[Customer ID],
tblScreening[Source of Wealth Obtained]),
"")</f>
        <v>Yes</v>
      </c>
      <c r="U65" t="str" cm="1">
        <f t="array" ref="U65">_xlfn.IFS(
G65="Reject","Screening Rejected",
R65="Potential Match","Potential Sanctions Match",
AND(S65="Yes",I65&gt;=4),"PEP in High-Risk Country",
T65="No","Missing Source of Wealth",
G65="EDD Review","EDD Review Required",
TRUE,"None"
)</f>
        <v>None</v>
      </c>
      <c r="V65" t="str" cm="1">
        <f t="array" ref="V65">_xlfn.IFS(
G65="Reject","Reject",
R65="Potential Match","Reject",
G65="EDD Review","Escalate",
AND(S65="Yes",I65&gt;=4),"Escalate",
T65="No","Escalate",
TRUE,
_xlfn.XLOOKUP(
Q65,
tblDecision[Due Diligence],
tblDecision[Decision]
)
)</f>
        <v>Approve</v>
      </c>
    </row>
    <row r="66" spans="1:22" x14ac:dyDescent="0.25">
      <c r="A66" t="s">
        <v>172</v>
      </c>
      <c r="B66" t="str">
        <f>IFERROR(_xlfn.XLOOKUP($A66,tblCustomers[Customer ID],tblCustomers[Customer Type]),"")</f>
        <v>Individual</v>
      </c>
      <c r="C66" t="str">
        <f>IFERROR(_xlfn.XLOOKUP($A66,tblCustomers[Customer ID],tblCustomers[Country]),"")</f>
        <v>United States</v>
      </c>
      <c r="D66" t="str">
        <f>IFERROR(_xlfn.XLOOKUP($A66,tblCustomers[Customer ID],tblCustomers[Occupation/Industry]),"")</f>
        <v>Doctor</v>
      </c>
      <c r="E66" t="str">
        <f>IFERROR(_xlfn.XLOOKUP($A66,tblCustomers[Customer ID],tblCustomers[Product Requested]),"")</f>
        <v>Trade Finance</v>
      </c>
      <c r="F66" t="str">
        <f>IFERROR(_xlfn.XLOOKUP($A66,tblCustomers[Customer ID],tblCustomers[Delivery Channel]),"")</f>
        <v>Relationship Manager</v>
      </c>
      <c r="G66" t="str">
        <f>IFERROR(_xlfn.XLOOKUP($A66,tblScreening[Customer ID],tblScreening[Screening Result]),"")</f>
        <v>Clear</v>
      </c>
      <c r="H66">
        <f>IFERROR(_xlfn.XLOOKUP(B66,tblCustomerType[Customer Type],tblCustomerType[Risk Score]),0)</f>
        <v>2</v>
      </c>
      <c r="I66">
        <f>IFERROR(_xlfn.XLOOKUP(C66,tblCountryRisk[Country],tblCountryRisk[Risk Score]),0)</f>
        <v>1</v>
      </c>
      <c r="J66">
        <f>IFERROR(_xlfn.XLOOKUP(D66,tblOccupationRisk[Occupation],tblOccupationRisk[Risk Score]),0)</f>
        <v>0</v>
      </c>
      <c r="K66">
        <f>IFERROR(_xlfn.XLOOKUP(E66,tblProductRisk[Product],tblProductRisk[Risk Score]),0)</f>
        <v>4</v>
      </c>
      <c r="L66">
        <f>IFERROR(_xlfn.XLOOKUP(F66,tblChannelRisk[Channel],tblChannelRisk[Risk Score]),0)</f>
        <v>2</v>
      </c>
      <c r="M66">
        <f>IFERROR(_xlfn.XLOOKUP(G66,tblScreeningRisk[Screening Result],tblScreeningRisk[Risk Score]),0)</f>
        <v>1</v>
      </c>
      <c r="N66">
        <f>IFERROR(
_xlfn.MAXIFS(
'[1]Transaction Monitoring'!Q:Q,
'[1]Transaction Monitoring'!B:B,
A66
),
1
)</f>
        <v>1</v>
      </c>
      <c r="O66">
        <f t="shared" si="0"/>
        <v>11</v>
      </c>
      <c r="P66" t="str" cm="1">
        <f t="array" ref="P66">_xlfn.IFS(
O66&lt;=12,"Low",
O66&lt;=20,"Medium",
O66&lt;=30,"High",
TRUE,"Very High"
)</f>
        <v>Low</v>
      </c>
      <c r="Q66" t="str" cm="1">
        <f t="array" ref="Q66">_xlfn.IFS(
G66="Reject","EDD",
R66="Potential Match","EDD",
G66="EDD Review","EDD",
AND(S66="Yes",I66&gt;=4),"EDD",
T66="No","EDD",
TRUE,
_xlfn.XLOOKUP(
P66,
tblDueDiligence[Risk Rating],
tblDueDiligence[Due Diligence]
)
)</f>
        <v>SDD</v>
      </c>
      <c r="R66" t="str">
        <f>IFERROR(
_xlfn.XLOOKUP($A66,
tblScreening[Customer ID],
tblScreening[Sanction Match]),
"")</f>
        <v>No Match</v>
      </c>
      <c r="S66" t="str">
        <f>IFERROR(
_xlfn.XLOOKUP($A66,
tblScreening[Customer ID],
tblScreening[PEP]),
"")</f>
        <v>No</v>
      </c>
      <c r="T66" t="str">
        <f>IFERROR(
_xlfn.XLOOKUP($A66,
tblScreening[Customer ID],
tblScreening[Source of Wealth Obtained]),
"")</f>
        <v>Yes</v>
      </c>
      <c r="U66" t="str" cm="1">
        <f t="array" ref="U66">_xlfn.IFS(
G66="Reject","Screening Rejected",
R66="Potential Match","Potential Sanctions Match",
AND(S66="Yes",I66&gt;=4),"PEP in High-Risk Country",
T66="No","Missing Source of Wealth",
G66="EDD Review","EDD Review Required",
TRUE,"None"
)</f>
        <v>None</v>
      </c>
      <c r="V66" t="str" cm="1">
        <f t="array" ref="V66">_xlfn.IFS(
G66="Reject","Reject",
R66="Potential Match","Reject",
G66="EDD Review","Escalate",
AND(S66="Yes",I66&gt;=4),"Escalate",
T66="No","Escalate",
TRUE,
_xlfn.XLOOKUP(
Q66,
tblDecision[Due Diligence],
tblDecision[Decision]
)
)</f>
        <v>Approve</v>
      </c>
    </row>
    <row r="67" spans="1:22" x14ac:dyDescent="0.25">
      <c r="A67" t="s">
        <v>174</v>
      </c>
      <c r="B67" t="str">
        <f>IFERROR(_xlfn.XLOOKUP($A67,tblCustomers[Customer ID],tblCustomers[Customer Type]),"")</f>
        <v>Individual</v>
      </c>
      <c r="C67" t="str">
        <f>IFERROR(_xlfn.XLOOKUP($A67,tblCustomers[Customer ID],tblCustomers[Country]),"")</f>
        <v>UAE</v>
      </c>
      <c r="D67" t="str">
        <f>IFERROR(_xlfn.XLOOKUP($A67,tblCustomers[Customer ID],tblCustomers[Occupation/Industry]),"")</f>
        <v>Student</v>
      </c>
      <c r="E67" t="str">
        <f>IFERROR(_xlfn.XLOOKUP($A67,tblCustomers[Customer ID],tblCustomers[Product Requested]),"")</f>
        <v>Corporate Account</v>
      </c>
      <c r="F67" t="str">
        <f>IFERROR(_xlfn.XLOOKUP($A67,tblCustomers[Customer ID],tblCustomers[Delivery Channel]),"")</f>
        <v>Online</v>
      </c>
      <c r="G67" t="str">
        <f>IFERROR(_xlfn.XLOOKUP($A67,tblScreening[Customer ID],tblScreening[Screening Result]),"")</f>
        <v>Review</v>
      </c>
      <c r="H67">
        <f>IFERROR(_xlfn.XLOOKUP(B67,tblCustomerType[Customer Type],tblCustomerType[Risk Score]),0)</f>
        <v>2</v>
      </c>
      <c r="I67">
        <f>IFERROR(_xlfn.XLOOKUP(C67,tblCountryRisk[Country],tblCountryRisk[Risk Score]),0)</f>
        <v>3</v>
      </c>
      <c r="J67">
        <f>IFERROR(_xlfn.XLOOKUP(D67,tblOccupationRisk[Occupation],tblOccupationRisk[Risk Score]),0)</f>
        <v>1</v>
      </c>
      <c r="K67">
        <f>IFERROR(_xlfn.XLOOKUP(E67,tblProductRisk[Product],tblProductRisk[Risk Score]),0)</f>
        <v>3</v>
      </c>
      <c r="L67">
        <f>IFERROR(_xlfn.XLOOKUP(F67,tblChannelRisk[Channel],tblChannelRisk[Risk Score]),0)</f>
        <v>3</v>
      </c>
      <c r="M67">
        <f>IFERROR(_xlfn.XLOOKUP(G67,tblScreeningRisk[Screening Result],tblScreeningRisk[Risk Score]),0)</f>
        <v>3</v>
      </c>
      <c r="N67">
        <f>IFERROR(
_xlfn.MAXIFS(
'[1]Transaction Monitoring'!Q:Q,
'[1]Transaction Monitoring'!B:B,
A67
),
1
)</f>
        <v>1</v>
      </c>
      <c r="O67">
        <f t="shared" ref="O67:O101" si="1">SUM(H67:N67)</f>
        <v>16</v>
      </c>
      <c r="P67" t="str" cm="1">
        <f t="array" ref="P67">_xlfn.IFS(
O67&lt;=12,"Low",
O67&lt;=20,"Medium",
O67&lt;=30,"High",
TRUE,"Very High"
)</f>
        <v>Medium</v>
      </c>
      <c r="Q67" t="str" cm="1">
        <f t="array" ref="Q67">_xlfn.IFS(
G67="Reject","EDD",
R67="Potential Match","EDD",
G67="EDD Review","EDD",
AND(S67="Yes",I67&gt;=4),"EDD",
T67="No","EDD",
TRUE,
_xlfn.XLOOKUP(
P67,
tblDueDiligence[Risk Rating],
tblDueDiligence[Due Diligence]
)
)</f>
        <v>EDD</v>
      </c>
      <c r="R67" t="str">
        <f>IFERROR(
_xlfn.XLOOKUP($A67,
tblScreening[Customer ID],
tblScreening[Sanction Match]),
"")</f>
        <v>No Match</v>
      </c>
      <c r="S67" t="str">
        <f>IFERROR(
_xlfn.XLOOKUP($A67,
tblScreening[Customer ID],
tblScreening[PEP]),
"")</f>
        <v>Yes</v>
      </c>
      <c r="T67" t="str">
        <f>IFERROR(
_xlfn.XLOOKUP($A67,
tblScreening[Customer ID],
tblScreening[Source of Wealth Obtained]),
"")</f>
        <v>No</v>
      </c>
      <c r="U67" t="str" cm="1">
        <f t="array" ref="U67">_xlfn.IFS(
G67="Reject","Screening Rejected",
R67="Potential Match","Potential Sanctions Match",
AND(S67="Yes",I67&gt;=4),"PEP in High-Risk Country",
T67="No","Missing Source of Wealth",
G67="EDD Review","EDD Review Required",
TRUE,"None"
)</f>
        <v>Missing Source of Wealth</v>
      </c>
      <c r="V67" t="str" cm="1">
        <f t="array" ref="V67">_xlfn.IFS(
G67="Reject","Reject",
R67="Potential Match","Reject",
G67="EDD Review","Escalate",
AND(S67="Yes",I67&gt;=4),"Escalate",
T67="No","Escalate",
TRUE,
_xlfn.XLOOKUP(
Q67,
tblDecision[Due Diligence],
tblDecision[Decision]
)
)</f>
        <v>Escalate</v>
      </c>
    </row>
    <row r="68" spans="1:22" x14ac:dyDescent="0.25">
      <c r="A68" t="s">
        <v>176</v>
      </c>
      <c r="B68" t="str">
        <f>IFERROR(_xlfn.XLOOKUP($A68,tblCustomers[Customer ID],tblCustomers[Customer Type]),"")</f>
        <v>Individual</v>
      </c>
      <c r="C68" t="str">
        <f>IFERROR(_xlfn.XLOOKUP($A68,tblCustomers[Customer ID],tblCustomers[Country]),"")</f>
        <v>United States</v>
      </c>
      <c r="D68" t="str">
        <f>IFERROR(_xlfn.XLOOKUP($A68,tblCustomers[Customer ID],tblCustomers[Occupation/Industry]),"")</f>
        <v>Graphic Designer</v>
      </c>
      <c r="E68" t="str">
        <f>IFERROR(_xlfn.XLOOKUP($A68,tblCustomers[Customer ID],tblCustomers[Product Requested]),"")</f>
        <v>Savings</v>
      </c>
      <c r="F68" t="str">
        <f>IFERROR(_xlfn.XLOOKUP($A68,tblCustomers[Customer ID],tblCustomers[Delivery Channel]),"")</f>
        <v>Branch</v>
      </c>
      <c r="G68" t="str">
        <f>IFERROR(_xlfn.XLOOKUP($A68,tblScreening[Customer ID],tblScreening[Screening Result]),"")</f>
        <v>Review</v>
      </c>
      <c r="H68">
        <f>IFERROR(_xlfn.XLOOKUP(B68,tblCustomerType[Customer Type],tblCustomerType[Risk Score]),0)</f>
        <v>2</v>
      </c>
      <c r="I68">
        <f>IFERROR(_xlfn.XLOOKUP(C68,tblCountryRisk[Country],tblCountryRisk[Risk Score]),0)</f>
        <v>1</v>
      </c>
      <c r="J68">
        <f>IFERROR(_xlfn.XLOOKUP(D68,tblOccupationRisk[Occupation],tblOccupationRisk[Risk Score]),0)</f>
        <v>1</v>
      </c>
      <c r="K68">
        <f>IFERROR(_xlfn.XLOOKUP(E68,tblProductRisk[Product],tblProductRisk[Risk Score]),0)</f>
        <v>1</v>
      </c>
      <c r="L68">
        <f>IFERROR(_xlfn.XLOOKUP(F68,tblChannelRisk[Channel],tblChannelRisk[Risk Score]),0)</f>
        <v>1</v>
      </c>
      <c r="M68">
        <f>IFERROR(_xlfn.XLOOKUP(G68,tblScreeningRisk[Screening Result],tblScreeningRisk[Risk Score]),0)</f>
        <v>3</v>
      </c>
      <c r="N68">
        <f>IFERROR(
_xlfn.MAXIFS(
'[1]Transaction Monitoring'!Q:Q,
'[1]Transaction Monitoring'!B:B,
A68
),
1
)</f>
        <v>1</v>
      </c>
      <c r="O68">
        <f t="shared" si="1"/>
        <v>10</v>
      </c>
      <c r="P68" t="str" cm="1">
        <f t="array" ref="P68">_xlfn.IFS(
O68&lt;=12,"Low",
O68&lt;=20,"Medium",
O68&lt;=30,"High",
TRUE,"Very High"
)</f>
        <v>Low</v>
      </c>
      <c r="Q68" t="str" cm="1">
        <f t="array" ref="Q68">_xlfn.IFS(
G68="Reject","EDD",
R68="Potential Match","EDD",
G68="EDD Review","EDD",
AND(S68="Yes",I68&gt;=4),"EDD",
T68="No","EDD",
TRUE,
_xlfn.XLOOKUP(
P68,
tblDueDiligence[Risk Rating],
tblDueDiligence[Due Diligence]
)
)</f>
        <v>SDD</v>
      </c>
      <c r="R68" t="str">
        <f>IFERROR(
_xlfn.XLOOKUP($A68,
tblScreening[Customer ID],
tblScreening[Sanction Match]),
"")</f>
        <v>No Match</v>
      </c>
      <c r="S68" t="str">
        <f>IFERROR(
_xlfn.XLOOKUP($A68,
tblScreening[Customer ID],
tblScreening[PEP]),
"")</f>
        <v>No</v>
      </c>
      <c r="T68" t="str">
        <f>IFERROR(
_xlfn.XLOOKUP($A68,
tblScreening[Customer ID],
tblScreening[Source of Wealth Obtained]),
"")</f>
        <v>Yes</v>
      </c>
      <c r="U68" t="str" cm="1">
        <f t="array" ref="U68">_xlfn.IFS(
G68="Reject","Screening Rejected",
R68="Potential Match","Potential Sanctions Match",
AND(S68="Yes",I68&gt;=4),"PEP in High-Risk Country",
T68="No","Missing Source of Wealth",
G68="EDD Review","EDD Review Required",
TRUE,"None"
)</f>
        <v>None</v>
      </c>
      <c r="V68" t="str" cm="1">
        <f t="array" ref="V68">_xlfn.IFS(
G68="Reject","Reject",
R68="Potential Match","Reject",
G68="EDD Review","Escalate",
AND(S68="Yes",I68&gt;=4),"Escalate",
T68="No","Escalate",
TRUE,
_xlfn.XLOOKUP(
Q68,
tblDecision[Due Diligence],
tblDecision[Decision]
)
)</f>
        <v>Approve</v>
      </c>
    </row>
    <row r="69" spans="1:22" x14ac:dyDescent="0.25">
      <c r="A69" t="s">
        <v>178</v>
      </c>
      <c r="B69" t="str">
        <f>IFERROR(_xlfn.XLOOKUP($A69,tblCustomers[Customer ID],tblCustomers[Customer Type]),"")</f>
        <v>Individual</v>
      </c>
      <c r="C69" t="str">
        <f>IFERROR(_xlfn.XLOOKUP($A69,tblCustomers[Customer ID],tblCustomers[Country]),"")</f>
        <v>Nigeria</v>
      </c>
      <c r="D69" t="str">
        <f>IFERROR(_xlfn.XLOOKUP($A69,tblCustomers[Customer ID],tblCustomers[Occupation/Industry]),"")</f>
        <v>Graphic Designer</v>
      </c>
      <c r="E69" t="str">
        <f>IFERROR(_xlfn.XLOOKUP($A69,tblCustomers[Customer ID],tblCustomers[Product Requested]),"")</f>
        <v>Fixed Deposit</v>
      </c>
      <c r="F69" t="str">
        <f>IFERROR(_xlfn.XLOOKUP($A69,tblCustomers[Customer ID],tblCustomers[Delivery Channel]),"")</f>
        <v>Branch</v>
      </c>
      <c r="G69" t="str">
        <f>IFERROR(_xlfn.XLOOKUP($A69,tblScreening[Customer ID],tblScreening[Screening Result]),"")</f>
        <v>Review</v>
      </c>
      <c r="H69">
        <f>IFERROR(_xlfn.XLOOKUP(B69,tblCustomerType[Customer Type],tblCustomerType[Risk Score]),0)</f>
        <v>2</v>
      </c>
      <c r="I69">
        <f>IFERROR(_xlfn.XLOOKUP(C69,tblCountryRisk[Country],tblCountryRisk[Risk Score]),0)</f>
        <v>2</v>
      </c>
      <c r="J69">
        <f>IFERROR(_xlfn.XLOOKUP(D69,tblOccupationRisk[Occupation],tblOccupationRisk[Risk Score]),0)</f>
        <v>1</v>
      </c>
      <c r="K69">
        <f>IFERROR(_xlfn.XLOOKUP(E69,tblProductRisk[Product],tblProductRisk[Risk Score]),0)</f>
        <v>2</v>
      </c>
      <c r="L69">
        <f>IFERROR(_xlfn.XLOOKUP(F69,tblChannelRisk[Channel],tblChannelRisk[Risk Score]),0)</f>
        <v>1</v>
      </c>
      <c r="M69">
        <f>IFERROR(_xlfn.XLOOKUP(G69,tblScreeningRisk[Screening Result],tblScreeningRisk[Risk Score]),0)</f>
        <v>3</v>
      </c>
      <c r="N69">
        <f>IFERROR(
_xlfn.MAXIFS(
'[1]Transaction Monitoring'!Q:Q,
'[1]Transaction Monitoring'!B:B,
A69
),
1
)</f>
        <v>1</v>
      </c>
      <c r="O69">
        <f t="shared" si="1"/>
        <v>12</v>
      </c>
      <c r="P69" t="str" cm="1">
        <f t="array" ref="P69">_xlfn.IFS(
O69&lt;=12,"Low",
O69&lt;=20,"Medium",
O69&lt;=30,"High",
TRUE,"Very High"
)</f>
        <v>Low</v>
      </c>
      <c r="Q69" t="str" cm="1">
        <f t="array" ref="Q69">_xlfn.IFS(
G69="Reject","EDD",
R69="Potential Match","EDD",
G69="EDD Review","EDD",
AND(S69="Yes",I69&gt;=4),"EDD",
T69="No","EDD",
TRUE,
_xlfn.XLOOKUP(
P69,
tblDueDiligence[Risk Rating],
tblDueDiligence[Due Diligence]
)
)</f>
        <v>SDD</v>
      </c>
      <c r="R69" t="str">
        <f>IFERROR(
_xlfn.XLOOKUP($A69,
tblScreening[Customer ID],
tblScreening[Sanction Match]),
"")</f>
        <v>No Match</v>
      </c>
      <c r="S69" t="str">
        <f>IFERROR(
_xlfn.XLOOKUP($A69,
tblScreening[Customer ID],
tblScreening[PEP]),
"")</f>
        <v>No</v>
      </c>
      <c r="T69" t="str">
        <f>IFERROR(
_xlfn.XLOOKUP($A69,
tblScreening[Customer ID],
tblScreening[Source of Wealth Obtained]),
"")</f>
        <v>Yes</v>
      </c>
      <c r="U69" t="str" cm="1">
        <f t="array" ref="U69">_xlfn.IFS(
G69="Reject","Screening Rejected",
R69="Potential Match","Potential Sanctions Match",
AND(S69="Yes",I69&gt;=4),"PEP in High-Risk Country",
T69="No","Missing Source of Wealth",
G69="EDD Review","EDD Review Required",
TRUE,"None"
)</f>
        <v>None</v>
      </c>
      <c r="V69" t="str" cm="1">
        <f t="array" ref="V69">_xlfn.IFS(
G69="Reject","Reject",
R69="Potential Match","Reject",
G69="EDD Review","Escalate",
AND(S69="Yes",I69&gt;=4),"Escalate",
T69="No","Escalate",
TRUE,
_xlfn.XLOOKUP(
Q69,
tblDecision[Due Diligence],
tblDecision[Decision]
)
)</f>
        <v>Approve</v>
      </c>
    </row>
    <row r="70" spans="1:22" x14ac:dyDescent="0.25">
      <c r="A70" t="s">
        <v>180</v>
      </c>
      <c r="B70" t="str">
        <f>IFERROR(_xlfn.XLOOKUP($A70,tblCustomers[Customer ID],tblCustomers[Customer Type]),"")</f>
        <v>Individual</v>
      </c>
      <c r="C70" t="str">
        <f>IFERROR(_xlfn.XLOOKUP($A70,tblCustomers[Customer ID],tblCustomers[Country]),"")</f>
        <v>South Africa</v>
      </c>
      <c r="D70" t="str">
        <f>IFERROR(_xlfn.XLOOKUP($A70,tblCustomers[Customer ID],tblCustomers[Occupation/Industry]),"")</f>
        <v>Doctor</v>
      </c>
      <c r="E70" t="str">
        <f>IFERROR(_xlfn.XLOOKUP($A70,tblCustomers[Customer ID],tblCustomers[Product Requested]),"")</f>
        <v>Corporate Account</v>
      </c>
      <c r="F70" t="str">
        <f>IFERROR(_xlfn.XLOOKUP($A70,tblCustomers[Customer ID],tblCustomers[Delivery Channel]),"")</f>
        <v>Branch</v>
      </c>
      <c r="G70" t="str">
        <f>IFERROR(_xlfn.XLOOKUP($A70,tblScreening[Customer ID],tblScreening[Screening Result]),"")</f>
        <v>Review</v>
      </c>
      <c r="H70">
        <f>IFERROR(_xlfn.XLOOKUP(B70,tblCustomerType[Customer Type],tblCustomerType[Risk Score]),0)</f>
        <v>2</v>
      </c>
      <c r="I70">
        <f>IFERROR(_xlfn.XLOOKUP(C70,tblCountryRisk[Country],tblCountryRisk[Risk Score]),0)</f>
        <v>2</v>
      </c>
      <c r="J70">
        <f>IFERROR(_xlfn.XLOOKUP(D70,tblOccupationRisk[Occupation],tblOccupationRisk[Risk Score]),0)</f>
        <v>0</v>
      </c>
      <c r="K70">
        <f>IFERROR(_xlfn.XLOOKUP(E70,tblProductRisk[Product],tblProductRisk[Risk Score]),0)</f>
        <v>3</v>
      </c>
      <c r="L70">
        <f>IFERROR(_xlfn.XLOOKUP(F70,tblChannelRisk[Channel],tblChannelRisk[Risk Score]),0)</f>
        <v>1</v>
      </c>
      <c r="M70">
        <f>IFERROR(_xlfn.XLOOKUP(G70,tblScreeningRisk[Screening Result],tblScreeningRisk[Risk Score]),0)</f>
        <v>3</v>
      </c>
      <c r="N70">
        <f>IFERROR(
_xlfn.MAXIFS(
'[1]Transaction Monitoring'!Q:Q,
'[1]Transaction Monitoring'!B:B,
A70
),
1
)</f>
        <v>1</v>
      </c>
      <c r="O70">
        <f t="shared" si="1"/>
        <v>12</v>
      </c>
      <c r="P70" t="str" cm="1">
        <f t="array" ref="P70">_xlfn.IFS(
O70&lt;=12,"Low",
O70&lt;=20,"Medium",
O70&lt;=30,"High",
TRUE,"Very High"
)</f>
        <v>Low</v>
      </c>
      <c r="Q70" t="str" cm="1">
        <f t="array" ref="Q70">_xlfn.IFS(
G70="Reject","EDD",
R70="Potential Match","EDD",
G70="EDD Review","EDD",
AND(S70="Yes",I70&gt;=4),"EDD",
T70="No","EDD",
TRUE,
_xlfn.XLOOKUP(
P70,
tblDueDiligence[Risk Rating],
tblDueDiligence[Due Diligence]
)
)</f>
        <v>EDD</v>
      </c>
      <c r="R70" t="str">
        <f>IFERROR(
_xlfn.XLOOKUP($A70,
tblScreening[Customer ID],
tblScreening[Sanction Match]),
"")</f>
        <v>No Match</v>
      </c>
      <c r="S70" t="str">
        <f>IFERROR(
_xlfn.XLOOKUP($A70,
tblScreening[Customer ID],
tblScreening[PEP]),
"")</f>
        <v>No</v>
      </c>
      <c r="T70" t="str">
        <f>IFERROR(
_xlfn.XLOOKUP($A70,
tblScreening[Customer ID],
tblScreening[Source of Wealth Obtained]),
"")</f>
        <v>No</v>
      </c>
      <c r="U70" t="str" cm="1">
        <f t="array" ref="U70">_xlfn.IFS(
G70="Reject","Screening Rejected",
R70="Potential Match","Potential Sanctions Match",
AND(S70="Yes",I70&gt;=4),"PEP in High-Risk Country",
T70="No","Missing Source of Wealth",
G70="EDD Review","EDD Review Required",
TRUE,"None"
)</f>
        <v>Missing Source of Wealth</v>
      </c>
      <c r="V70" t="str" cm="1">
        <f t="array" ref="V70">_xlfn.IFS(
G70="Reject","Reject",
R70="Potential Match","Reject",
G70="EDD Review","Escalate",
AND(S70="Yes",I70&gt;=4),"Escalate",
T70="No","Escalate",
TRUE,
_xlfn.XLOOKUP(
Q70,
tblDecision[Due Diligence],
tblDecision[Decision]
)
)</f>
        <v>Escalate</v>
      </c>
    </row>
    <row r="71" spans="1:22" x14ac:dyDescent="0.25">
      <c r="A71" t="s">
        <v>182</v>
      </c>
      <c r="B71" t="str">
        <f>IFERROR(_xlfn.XLOOKUP($A71,tblCustomers[Customer ID],tblCustomers[Customer Type]),"")</f>
        <v>Individual</v>
      </c>
      <c r="C71" t="str">
        <f>IFERROR(_xlfn.XLOOKUP($A71,tblCustomers[Customer ID],tblCustomers[Country]),"")</f>
        <v>Kenya</v>
      </c>
      <c r="D71" t="str">
        <f>IFERROR(_xlfn.XLOOKUP($A71,tblCustomers[Customer ID],tblCustomers[Occupation/Industry]),"")</f>
        <v>Trader</v>
      </c>
      <c r="E71" t="str">
        <f>IFERROR(_xlfn.XLOOKUP($A71,tblCustomers[Customer ID],tblCustomers[Product Requested]),"")</f>
        <v>Fixed Deposit</v>
      </c>
      <c r="F71" t="str">
        <f>IFERROR(_xlfn.XLOOKUP($A71,tblCustomers[Customer ID],tblCustomers[Delivery Channel]),"")</f>
        <v>Online</v>
      </c>
      <c r="G71" t="str">
        <f>IFERROR(_xlfn.XLOOKUP($A71,tblScreening[Customer ID],tblScreening[Screening Result]),"")</f>
        <v>Clear</v>
      </c>
      <c r="H71">
        <f>IFERROR(_xlfn.XLOOKUP(B71,tblCustomerType[Customer Type],tblCustomerType[Risk Score]),0)</f>
        <v>2</v>
      </c>
      <c r="I71">
        <f>IFERROR(_xlfn.XLOOKUP(C71,tblCountryRisk[Country],tblCountryRisk[Risk Score]),0)</f>
        <v>2</v>
      </c>
      <c r="J71">
        <f>IFERROR(_xlfn.XLOOKUP(D71,tblOccupationRisk[Occupation],tblOccupationRisk[Risk Score]),0)</f>
        <v>3</v>
      </c>
      <c r="K71">
        <f>IFERROR(_xlfn.XLOOKUP(E71,tblProductRisk[Product],tblProductRisk[Risk Score]),0)</f>
        <v>2</v>
      </c>
      <c r="L71">
        <f>IFERROR(_xlfn.XLOOKUP(F71,tblChannelRisk[Channel],tblChannelRisk[Risk Score]),0)</f>
        <v>3</v>
      </c>
      <c r="M71">
        <f>IFERROR(_xlfn.XLOOKUP(G71,tblScreeningRisk[Screening Result],tblScreeningRisk[Risk Score]),0)</f>
        <v>1</v>
      </c>
      <c r="N71">
        <f>IFERROR(
_xlfn.MAXIFS(
'[1]Transaction Monitoring'!Q:Q,
'[1]Transaction Monitoring'!B:B,
A71
),
1
)</f>
        <v>1</v>
      </c>
      <c r="O71">
        <f t="shared" si="1"/>
        <v>14</v>
      </c>
      <c r="P71" t="str" cm="1">
        <f t="array" ref="P71">_xlfn.IFS(
O71&lt;=12,"Low",
O71&lt;=20,"Medium",
O71&lt;=30,"High",
TRUE,"Very High"
)</f>
        <v>Medium</v>
      </c>
      <c r="Q71" t="str" cm="1">
        <f t="array" ref="Q71">_xlfn.IFS(
G71="Reject","EDD",
R71="Potential Match","EDD",
G71="EDD Review","EDD",
AND(S71="Yes",I71&gt;=4),"EDD",
T71="No","EDD",
TRUE,
_xlfn.XLOOKUP(
P71,
tblDueDiligence[Risk Rating],
tblDueDiligence[Due Diligence]
)
)</f>
        <v>CDD</v>
      </c>
      <c r="R71" t="str">
        <f>IFERROR(
_xlfn.XLOOKUP($A71,
tblScreening[Customer ID],
tblScreening[Sanction Match]),
"")</f>
        <v>No Match</v>
      </c>
      <c r="S71" t="str">
        <f>IFERROR(
_xlfn.XLOOKUP($A71,
tblScreening[Customer ID],
tblScreening[PEP]),
"")</f>
        <v>No</v>
      </c>
      <c r="T71" t="str">
        <f>IFERROR(
_xlfn.XLOOKUP($A71,
tblScreening[Customer ID],
tblScreening[Source of Wealth Obtained]),
"")</f>
        <v>Yes</v>
      </c>
      <c r="U71" t="str" cm="1">
        <f t="array" ref="U71">_xlfn.IFS(
G71="Reject","Screening Rejected",
R71="Potential Match","Potential Sanctions Match",
AND(S71="Yes",I71&gt;=4),"PEP in High-Risk Country",
T71="No","Missing Source of Wealth",
G71="EDD Review","EDD Review Required",
TRUE,"None"
)</f>
        <v>None</v>
      </c>
      <c r="V71" t="str" cm="1">
        <f t="array" ref="V71">_xlfn.IFS(
G71="Reject","Reject",
R71="Potential Match","Reject",
G71="EDD Review","Escalate",
AND(S71="Yes",I71&gt;=4),"Escalate",
T71="No","Escalate",
TRUE,
_xlfn.XLOOKUP(
Q71,
tblDecision[Due Diligence],
tblDecision[Decision]
)
)</f>
        <v>Approve</v>
      </c>
    </row>
    <row r="72" spans="1:22" x14ac:dyDescent="0.25">
      <c r="A72" t="s">
        <v>184</v>
      </c>
      <c r="B72" t="str">
        <f>IFERROR(_xlfn.XLOOKUP($A72,tblCustomers[Customer ID],tblCustomers[Customer Type]),"")</f>
        <v>Corporate</v>
      </c>
      <c r="C72" t="str">
        <f>IFERROR(_xlfn.XLOOKUP($A72,tblCustomers[Customer ID],tblCustomers[Country]),"")</f>
        <v>UAE</v>
      </c>
      <c r="D72" t="str">
        <f>IFERROR(_xlfn.XLOOKUP($A72,tblCustomers[Customer ID],tblCustomers[Occupation/Industry]),"")</f>
        <v>Manufacturing</v>
      </c>
      <c r="E72" t="str">
        <f>IFERROR(_xlfn.XLOOKUP($A72,tblCustomers[Customer ID],tblCustomers[Product Requested]),"")</f>
        <v>Corporate Account</v>
      </c>
      <c r="F72" t="str">
        <f>IFERROR(_xlfn.XLOOKUP($A72,tblCustomers[Customer ID],tblCustomers[Delivery Channel]),"")</f>
        <v>Relationship Manager</v>
      </c>
      <c r="G72" t="str">
        <f>IFERROR(_xlfn.XLOOKUP($A72,tblScreening[Customer ID],tblScreening[Screening Result]),"")</f>
        <v>Clear</v>
      </c>
      <c r="H72">
        <f>IFERROR(_xlfn.XLOOKUP(B72,tblCustomerType[Customer Type],tblCustomerType[Risk Score]),0)</f>
        <v>3</v>
      </c>
      <c r="I72">
        <f>IFERROR(_xlfn.XLOOKUP(C72,tblCountryRisk[Country],tblCountryRisk[Risk Score]),0)</f>
        <v>3</v>
      </c>
      <c r="J72">
        <f>IFERROR(_xlfn.XLOOKUP(D72,tblOccupationRisk[Occupation],tblOccupationRisk[Risk Score]),0)</f>
        <v>0</v>
      </c>
      <c r="K72">
        <f>IFERROR(_xlfn.XLOOKUP(E72,tblProductRisk[Product],tblProductRisk[Risk Score]),0)</f>
        <v>3</v>
      </c>
      <c r="L72">
        <f>IFERROR(_xlfn.XLOOKUP(F72,tblChannelRisk[Channel],tblChannelRisk[Risk Score]),0)</f>
        <v>2</v>
      </c>
      <c r="M72">
        <f>IFERROR(_xlfn.XLOOKUP(G72,tblScreeningRisk[Screening Result],tblScreeningRisk[Risk Score]),0)</f>
        <v>1</v>
      </c>
      <c r="N72">
        <f>IFERROR(
_xlfn.MAXIFS(
'[1]Transaction Monitoring'!Q:Q,
'[1]Transaction Monitoring'!B:B,
A72
),
1
)</f>
        <v>1</v>
      </c>
      <c r="O72">
        <f t="shared" si="1"/>
        <v>13</v>
      </c>
      <c r="P72" t="str" cm="1">
        <f t="array" ref="P72">_xlfn.IFS(
O72&lt;=12,"Low",
O72&lt;=20,"Medium",
O72&lt;=30,"High",
TRUE,"Very High"
)</f>
        <v>Medium</v>
      </c>
      <c r="Q72" t="str" cm="1">
        <f t="array" ref="Q72">_xlfn.IFS(
G72="Reject","EDD",
R72="Potential Match","EDD",
G72="EDD Review","EDD",
AND(S72="Yes",I72&gt;=4),"EDD",
T72="No","EDD",
TRUE,
_xlfn.XLOOKUP(
P72,
tblDueDiligence[Risk Rating],
tblDueDiligence[Due Diligence]
)
)</f>
        <v>CDD</v>
      </c>
      <c r="R72" t="str">
        <f>IFERROR(
_xlfn.XLOOKUP($A72,
tblScreening[Customer ID],
tblScreening[Sanction Match]),
"")</f>
        <v>No Match</v>
      </c>
      <c r="S72" t="str">
        <f>IFERROR(
_xlfn.XLOOKUP($A72,
tblScreening[Customer ID],
tblScreening[PEP]),
"")</f>
        <v>No</v>
      </c>
      <c r="T72" t="str">
        <f>IFERROR(
_xlfn.XLOOKUP($A72,
tblScreening[Customer ID],
tblScreening[Source of Wealth Obtained]),
"")</f>
        <v>Yes</v>
      </c>
      <c r="U72" t="str" cm="1">
        <f t="array" ref="U72">_xlfn.IFS(
G72="Reject","Screening Rejected",
R72="Potential Match","Potential Sanctions Match",
AND(S72="Yes",I72&gt;=4),"PEP in High-Risk Country",
T72="No","Missing Source of Wealth",
G72="EDD Review","EDD Review Required",
TRUE,"None"
)</f>
        <v>None</v>
      </c>
      <c r="V72" t="str" cm="1">
        <f t="array" ref="V72">_xlfn.IFS(
G72="Reject","Reject",
R72="Potential Match","Reject",
G72="EDD Review","Escalate",
AND(S72="Yes",I72&gt;=4),"Escalate",
T72="No","Escalate",
TRUE,
_xlfn.XLOOKUP(
Q72,
tblDecision[Due Diligence],
tblDecision[Decision]
)
)</f>
        <v>Approve</v>
      </c>
    </row>
    <row r="73" spans="1:22" x14ac:dyDescent="0.25">
      <c r="A73" t="s">
        <v>188</v>
      </c>
      <c r="B73" t="str">
        <f>IFERROR(_xlfn.XLOOKUP($A73,tblCustomers[Customer ID],tblCustomers[Customer Type]),"")</f>
        <v>Corporate</v>
      </c>
      <c r="C73" t="str">
        <f>IFERROR(_xlfn.XLOOKUP($A73,tblCustomers[Customer ID],tblCustomers[Country]),"")</f>
        <v>United States</v>
      </c>
      <c r="D73" t="str">
        <f>IFERROR(_xlfn.XLOOKUP($A73,tblCustomers[Customer ID],tblCustomers[Occupation/Industry]),"")</f>
        <v>FinTech</v>
      </c>
      <c r="E73" t="str">
        <f>IFERROR(_xlfn.XLOOKUP($A73,tblCustomers[Customer ID],tblCustomers[Product Requested]),"")</f>
        <v>Savings</v>
      </c>
      <c r="F73" t="str">
        <f>IFERROR(_xlfn.XLOOKUP($A73,tblCustomers[Customer ID],tblCustomers[Delivery Channel]),"")</f>
        <v>Online</v>
      </c>
      <c r="G73" t="str">
        <f>IFERROR(_xlfn.XLOOKUP($A73,tblScreening[Customer ID],tblScreening[Screening Result]),"")</f>
        <v>Review</v>
      </c>
      <c r="H73">
        <f>IFERROR(_xlfn.XLOOKUP(B73,tblCustomerType[Customer Type],tblCustomerType[Risk Score]),0)</f>
        <v>3</v>
      </c>
      <c r="I73">
        <f>IFERROR(_xlfn.XLOOKUP(C73,tblCountryRisk[Country],tblCountryRisk[Risk Score]),0)</f>
        <v>1</v>
      </c>
      <c r="J73">
        <f>IFERROR(_xlfn.XLOOKUP(D73,tblOccupationRisk[Occupation],tblOccupationRisk[Risk Score]),0)</f>
        <v>0</v>
      </c>
      <c r="K73">
        <f>IFERROR(_xlfn.XLOOKUP(E73,tblProductRisk[Product],tblProductRisk[Risk Score]),0)</f>
        <v>1</v>
      </c>
      <c r="L73">
        <f>IFERROR(_xlfn.XLOOKUP(F73,tblChannelRisk[Channel],tblChannelRisk[Risk Score]),0)</f>
        <v>3</v>
      </c>
      <c r="M73">
        <f>IFERROR(_xlfn.XLOOKUP(G73,tblScreeningRisk[Screening Result],tblScreeningRisk[Risk Score]),0)</f>
        <v>3</v>
      </c>
      <c r="N73">
        <f>IFERROR(
_xlfn.MAXIFS(
'[1]Transaction Monitoring'!Q:Q,
'[1]Transaction Monitoring'!B:B,
A73
),
1
)</f>
        <v>1</v>
      </c>
      <c r="O73">
        <f t="shared" si="1"/>
        <v>12</v>
      </c>
      <c r="P73" t="str" cm="1">
        <f t="array" ref="P73">_xlfn.IFS(
O73&lt;=12,"Low",
O73&lt;=20,"Medium",
O73&lt;=30,"High",
TRUE,"Very High"
)</f>
        <v>Low</v>
      </c>
      <c r="Q73" t="str" cm="1">
        <f t="array" ref="Q73">_xlfn.IFS(
G73="Reject","EDD",
R73="Potential Match","EDD",
G73="EDD Review","EDD",
AND(S73="Yes",I73&gt;=4),"EDD",
T73="No","EDD",
TRUE,
_xlfn.XLOOKUP(
P73,
tblDueDiligence[Risk Rating],
tblDueDiligence[Due Diligence]
)
)</f>
        <v>EDD</v>
      </c>
      <c r="R73" t="str">
        <f>IFERROR(
_xlfn.XLOOKUP($A73,
tblScreening[Customer ID],
tblScreening[Sanction Match]),
"")</f>
        <v>No Match</v>
      </c>
      <c r="S73" t="str">
        <f>IFERROR(
_xlfn.XLOOKUP($A73,
tblScreening[Customer ID],
tblScreening[PEP]),
"")</f>
        <v>Yes</v>
      </c>
      <c r="T73" t="str">
        <f>IFERROR(
_xlfn.XLOOKUP($A73,
tblScreening[Customer ID],
tblScreening[Source of Wealth Obtained]),
"")</f>
        <v>No</v>
      </c>
      <c r="U73" t="str" cm="1">
        <f t="array" ref="U73">_xlfn.IFS(
G73="Reject","Screening Rejected",
R73="Potential Match","Potential Sanctions Match",
AND(S73="Yes",I73&gt;=4),"PEP in High-Risk Country",
T73="No","Missing Source of Wealth",
G73="EDD Review","EDD Review Required",
TRUE,"None"
)</f>
        <v>Missing Source of Wealth</v>
      </c>
      <c r="V73" t="str" cm="1">
        <f t="array" ref="V73">_xlfn.IFS(
G73="Reject","Reject",
R73="Potential Match","Reject",
G73="EDD Review","Escalate",
AND(S73="Yes",I73&gt;=4),"Escalate",
T73="No","Escalate",
TRUE,
_xlfn.XLOOKUP(
Q73,
tblDecision[Due Diligence],
tblDecision[Decision]
)
)</f>
        <v>Escalate</v>
      </c>
    </row>
    <row r="74" spans="1:22" x14ac:dyDescent="0.25">
      <c r="A74" t="s">
        <v>190</v>
      </c>
      <c r="B74" t="str">
        <f>IFERROR(_xlfn.XLOOKUP($A74,tblCustomers[Customer ID],tblCustomers[Customer Type]),"")</f>
        <v>Corporate</v>
      </c>
      <c r="C74" t="str">
        <f>IFERROR(_xlfn.XLOOKUP($A74,tblCustomers[Customer ID],tblCustomers[Country]),"")</f>
        <v>Kenya</v>
      </c>
      <c r="D74" t="str">
        <f>IFERROR(_xlfn.XLOOKUP($A74,tblCustomers[Customer ID],tblCustomers[Occupation/Industry]),"")</f>
        <v>Logistics</v>
      </c>
      <c r="E74" t="str">
        <f>IFERROR(_xlfn.XLOOKUP($A74,tblCustomers[Customer ID],tblCustomers[Product Requested]),"")</f>
        <v>Trade Finance</v>
      </c>
      <c r="F74" t="str">
        <f>IFERROR(_xlfn.XLOOKUP($A74,tblCustomers[Customer ID],tblCustomers[Delivery Channel]),"")</f>
        <v>Mobile App</v>
      </c>
      <c r="G74" t="str">
        <f>IFERROR(_xlfn.XLOOKUP($A74,tblScreening[Customer ID],tblScreening[Screening Result]),"")</f>
        <v>Clear</v>
      </c>
      <c r="H74">
        <f>IFERROR(_xlfn.XLOOKUP(B74,tblCustomerType[Customer Type],tblCustomerType[Risk Score]),0)</f>
        <v>3</v>
      </c>
      <c r="I74">
        <f>IFERROR(_xlfn.XLOOKUP(C74,tblCountryRisk[Country],tblCountryRisk[Risk Score]),0)</f>
        <v>2</v>
      </c>
      <c r="J74">
        <f>IFERROR(_xlfn.XLOOKUP(D74,tblOccupationRisk[Occupation],tblOccupationRisk[Risk Score]),0)</f>
        <v>0</v>
      </c>
      <c r="K74">
        <f>IFERROR(_xlfn.XLOOKUP(E74,tblProductRisk[Product],tblProductRisk[Risk Score]),0)</f>
        <v>4</v>
      </c>
      <c r="L74">
        <f>IFERROR(_xlfn.XLOOKUP(F74,tblChannelRisk[Channel],tblChannelRisk[Risk Score]),0)</f>
        <v>3</v>
      </c>
      <c r="M74">
        <f>IFERROR(_xlfn.XLOOKUP(G74,tblScreeningRisk[Screening Result],tblScreeningRisk[Risk Score]),0)</f>
        <v>1</v>
      </c>
      <c r="N74">
        <f>IFERROR(
_xlfn.MAXIFS(
'[1]Transaction Monitoring'!Q:Q,
'[1]Transaction Monitoring'!B:B,
A74
),
1
)</f>
        <v>1</v>
      </c>
      <c r="O74">
        <f t="shared" si="1"/>
        <v>14</v>
      </c>
      <c r="P74" t="str" cm="1">
        <f t="array" ref="P74">_xlfn.IFS(
O74&lt;=12,"Low",
O74&lt;=20,"Medium",
O74&lt;=30,"High",
TRUE,"Very High"
)</f>
        <v>Medium</v>
      </c>
      <c r="Q74" t="str" cm="1">
        <f t="array" ref="Q74">_xlfn.IFS(
G74="Reject","EDD",
R74="Potential Match","EDD",
G74="EDD Review","EDD",
AND(S74="Yes",I74&gt;=4),"EDD",
T74="No","EDD",
TRUE,
_xlfn.XLOOKUP(
P74,
tblDueDiligence[Risk Rating],
tblDueDiligence[Due Diligence]
)
)</f>
        <v>CDD</v>
      </c>
      <c r="R74" t="str">
        <f>IFERROR(
_xlfn.XLOOKUP($A74,
tblScreening[Customer ID],
tblScreening[Sanction Match]),
"")</f>
        <v>No Match</v>
      </c>
      <c r="S74" t="str">
        <f>IFERROR(
_xlfn.XLOOKUP($A74,
tblScreening[Customer ID],
tblScreening[PEP]),
"")</f>
        <v>No</v>
      </c>
      <c r="T74" t="str">
        <f>IFERROR(
_xlfn.XLOOKUP($A74,
tblScreening[Customer ID],
tblScreening[Source of Wealth Obtained]),
"")</f>
        <v>Yes</v>
      </c>
      <c r="U74" t="str" cm="1">
        <f t="array" ref="U74">_xlfn.IFS(
G74="Reject","Screening Rejected",
R74="Potential Match","Potential Sanctions Match",
AND(S74="Yes",I74&gt;=4),"PEP in High-Risk Country",
T74="No","Missing Source of Wealth",
G74="EDD Review","EDD Review Required",
TRUE,"None"
)</f>
        <v>None</v>
      </c>
      <c r="V74" t="str" cm="1">
        <f t="array" ref="V74">_xlfn.IFS(
G74="Reject","Reject",
R74="Potential Match","Reject",
G74="EDD Review","Escalate",
AND(S74="Yes",I74&gt;=4),"Escalate",
T74="No","Escalate",
TRUE,
_xlfn.XLOOKUP(
Q74,
tblDecision[Due Diligence],
tblDecision[Decision]
)
)</f>
        <v>Approve</v>
      </c>
    </row>
    <row r="75" spans="1:22" x14ac:dyDescent="0.25">
      <c r="A75" t="s">
        <v>193</v>
      </c>
      <c r="B75" t="str">
        <f>IFERROR(_xlfn.XLOOKUP($A75,tblCustomers[Customer ID],tblCustomers[Customer Type]),"")</f>
        <v>Corporate</v>
      </c>
      <c r="C75" t="str">
        <f>IFERROR(_xlfn.XLOOKUP($A75,tblCustomers[Customer ID],tblCustomers[Country]),"")</f>
        <v>South Africa</v>
      </c>
      <c r="D75" t="str">
        <f>IFERROR(_xlfn.XLOOKUP($A75,tblCustomers[Customer ID],tblCustomers[Occupation/Industry]),"")</f>
        <v>Manufacturing</v>
      </c>
      <c r="E75" t="str">
        <f>IFERROR(_xlfn.XLOOKUP($A75,tblCustomers[Customer ID],tblCustomers[Product Requested]),"")</f>
        <v>Investment</v>
      </c>
      <c r="F75" t="str">
        <f>IFERROR(_xlfn.XLOOKUP($A75,tblCustomers[Customer ID],tblCustomers[Delivery Channel]),"")</f>
        <v>Branch</v>
      </c>
      <c r="G75" t="str">
        <f>IFERROR(_xlfn.XLOOKUP($A75,tblScreening[Customer ID],tblScreening[Screening Result]),"")</f>
        <v>Review</v>
      </c>
      <c r="H75">
        <f>IFERROR(_xlfn.XLOOKUP(B75,tblCustomerType[Customer Type],tblCustomerType[Risk Score]),0)</f>
        <v>3</v>
      </c>
      <c r="I75">
        <f>IFERROR(_xlfn.XLOOKUP(C75,tblCountryRisk[Country],tblCountryRisk[Risk Score]),0)</f>
        <v>2</v>
      </c>
      <c r="J75">
        <f>IFERROR(_xlfn.XLOOKUP(D75,tblOccupationRisk[Occupation],tblOccupationRisk[Risk Score]),0)</f>
        <v>0</v>
      </c>
      <c r="K75">
        <f>IFERROR(_xlfn.XLOOKUP(E75,tblProductRisk[Product],tblProductRisk[Risk Score]),0)</f>
        <v>3</v>
      </c>
      <c r="L75">
        <f>IFERROR(_xlfn.XLOOKUP(F75,tblChannelRisk[Channel],tblChannelRisk[Risk Score]),0)</f>
        <v>1</v>
      </c>
      <c r="M75">
        <f>IFERROR(_xlfn.XLOOKUP(G75,tblScreeningRisk[Screening Result],tblScreeningRisk[Risk Score]),0)</f>
        <v>3</v>
      </c>
      <c r="N75">
        <f>IFERROR(
_xlfn.MAXIFS(
'[1]Transaction Monitoring'!Q:Q,
'[1]Transaction Monitoring'!B:B,
A75
),
1
)</f>
        <v>1</v>
      </c>
      <c r="O75">
        <f t="shared" si="1"/>
        <v>13</v>
      </c>
      <c r="P75" t="str" cm="1">
        <f t="array" ref="P75">_xlfn.IFS(
O75&lt;=12,"Low",
O75&lt;=20,"Medium",
O75&lt;=30,"High",
TRUE,"Very High"
)</f>
        <v>Medium</v>
      </c>
      <c r="Q75" t="str" cm="1">
        <f t="array" ref="Q75">_xlfn.IFS(
G75="Reject","EDD",
R75="Potential Match","EDD",
G75="EDD Review","EDD",
AND(S75="Yes",I75&gt;=4),"EDD",
T75="No","EDD",
TRUE,
_xlfn.XLOOKUP(
P75,
tblDueDiligence[Risk Rating],
tblDueDiligence[Due Diligence]
)
)</f>
        <v>CDD</v>
      </c>
      <c r="R75" t="str">
        <f>IFERROR(
_xlfn.XLOOKUP($A75,
tblScreening[Customer ID],
tblScreening[Sanction Match]),
"")</f>
        <v>No Match</v>
      </c>
      <c r="S75" t="str">
        <f>IFERROR(
_xlfn.XLOOKUP($A75,
tblScreening[Customer ID],
tblScreening[PEP]),
"")</f>
        <v>Yes</v>
      </c>
      <c r="T75" t="str">
        <f>IFERROR(
_xlfn.XLOOKUP($A75,
tblScreening[Customer ID],
tblScreening[Source of Wealth Obtained]),
"")</f>
        <v>Yes</v>
      </c>
      <c r="U75" t="str" cm="1">
        <f t="array" ref="U75">_xlfn.IFS(
G75="Reject","Screening Rejected",
R75="Potential Match","Potential Sanctions Match",
AND(S75="Yes",I75&gt;=4),"PEP in High-Risk Country",
T75="No","Missing Source of Wealth",
G75="EDD Review","EDD Review Required",
TRUE,"None"
)</f>
        <v>None</v>
      </c>
      <c r="V75" t="str" cm="1">
        <f t="array" ref="V75">_xlfn.IFS(
G75="Reject","Reject",
R75="Potential Match","Reject",
G75="EDD Review","Escalate",
AND(S75="Yes",I75&gt;=4),"Escalate",
T75="No","Escalate",
TRUE,
_xlfn.XLOOKUP(
Q75,
tblDecision[Due Diligence],
tblDecision[Decision]
)
)</f>
        <v>Approve</v>
      </c>
    </row>
    <row r="76" spans="1:22" x14ac:dyDescent="0.25">
      <c r="A76" t="s">
        <v>195</v>
      </c>
      <c r="B76" t="str">
        <f>IFERROR(_xlfn.XLOOKUP($A76,tblCustomers[Customer ID],tblCustomers[Customer Type]),"")</f>
        <v>Corporate</v>
      </c>
      <c r="C76" t="str">
        <f>IFERROR(_xlfn.XLOOKUP($A76,tblCustomers[Customer ID],tblCustomers[Country]),"")</f>
        <v>Canada</v>
      </c>
      <c r="D76" t="str">
        <f>IFERROR(_xlfn.XLOOKUP($A76,tblCustomers[Customer ID],tblCustomers[Occupation/Industry]),"")</f>
        <v>Logistics</v>
      </c>
      <c r="E76" t="str">
        <f>IFERROR(_xlfn.XLOOKUP($A76,tblCustomers[Customer ID],tblCustomers[Product Requested]),"")</f>
        <v>Investment</v>
      </c>
      <c r="F76" t="str">
        <f>IFERROR(_xlfn.XLOOKUP($A76,tblCustomers[Customer ID],tblCustomers[Delivery Channel]),"")</f>
        <v>Online</v>
      </c>
      <c r="G76" t="str">
        <f>IFERROR(_xlfn.XLOOKUP($A76,tblScreening[Customer ID],tblScreening[Screening Result]),"")</f>
        <v>Review</v>
      </c>
      <c r="H76">
        <f>IFERROR(_xlfn.XLOOKUP(B76,tblCustomerType[Customer Type],tblCustomerType[Risk Score]),0)</f>
        <v>3</v>
      </c>
      <c r="I76">
        <f>IFERROR(_xlfn.XLOOKUP(C76,tblCountryRisk[Country],tblCountryRisk[Risk Score]),0)</f>
        <v>1</v>
      </c>
      <c r="J76">
        <f>IFERROR(_xlfn.XLOOKUP(D76,tblOccupationRisk[Occupation],tblOccupationRisk[Risk Score]),0)</f>
        <v>0</v>
      </c>
      <c r="K76">
        <f>IFERROR(_xlfn.XLOOKUP(E76,tblProductRisk[Product],tblProductRisk[Risk Score]),0)</f>
        <v>3</v>
      </c>
      <c r="L76">
        <f>IFERROR(_xlfn.XLOOKUP(F76,tblChannelRisk[Channel],tblChannelRisk[Risk Score]),0)</f>
        <v>3</v>
      </c>
      <c r="M76">
        <f>IFERROR(_xlfn.XLOOKUP(G76,tblScreeningRisk[Screening Result],tblScreeningRisk[Risk Score]),0)</f>
        <v>3</v>
      </c>
      <c r="N76">
        <f>IFERROR(
_xlfn.MAXIFS(
'[1]Transaction Monitoring'!Q:Q,
'[1]Transaction Monitoring'!B:B,
A76
),
1
)</f>
        <v>1</v>
      </c>
      <c r="O76">
        <f t="shared" si="1"/>
        <v>14</v>
      </c>
      <c r="P76" t="str" cm="1">
        <f t="array" ref="P76">_xlfn.IFS(
O76&lt;=12,"Low",
O76&lt;=20,"Medium",
O76&lt;=30,"High",
TRUE,"Very High"
)</f>
        <v>Medium</v>
      </c>
      <c r="Q76" t="str" cm="1">
        <f t="array" ref="Q76">_xlfn.IFS(
G76="Reject","EDD",
R76="Potential Match","EDD",
G76="EDD Review","EDD",
AND(S76="Yes",I76&gt;=4),"EDD",
T76="No","EDD",
TRUE,
_xlfn.XLOOKUP(
P76,
tblDueDiligence[Risk Rating],
tblDueDiligence[Due Diligence]
)
)</f>
        <v>CDD</v>
      </c>
      <c r="R76" t="str">
        <f>IFERROR(
_xlfn.XLOOKUP($A76,
tblScreening[Customer ID],
tblScreening[Sanction Match]),
"")</f>
        <v>No Match</v>
      </c>
      <c r="S76" t="str">
        <f>IFERROR(
_xlfn.XLOOKUP($A76,
tblScreening[Customer ID],
tblScreening[PEP]),
"")</f>
        <v>Yes</v>
      </c>
      <c r="T76" t="str">
        <f>IFERROR(
_xlfn.XLOOKUP($A76,
tblScreening[Customer ID],
tblScreening[Source of Wealth Obtained]),
"")</f>
        <v>Yes</v>
      </c>
      <c r="U76" t="str" cm="1">
        <f t="array" ref="U76">_xlfn.IFS(
G76="Reject","Screening Rejected",
R76="Potential Match","Potential Sanctions Match",
AND(S76="Yes",I76&gt;=4),"PEP in High-Risk Country",
T76="No","Missing Source of Wealth",
G76="EDD Review","EDD Review Required",
TRUE,"None"
)</f>
        <v>None</v>
      </c>
      <c r="V76" t="str" cm="1">
        <f t="array" ref="V76">_xlfn.IFS(
G76="Reject","Reject",
R76="Potential Match","Reject",
G76="EDD Review","Escalate",
AND(S76="Yes",I76&gt;=4),"Escalate",
T76="No","Escalate",
TRUE,
_xlfn.XLOOKUP(
Q76,
tblDecision[Due Diligence],
tblDecision[Decision]
)
)</f>
        <v>Approve</v>
      </c>
    </row>
    <row r="77" spans="1:22" x14ac:dyDescent="0.25">
      <c r="A77" t="s">
        <v>197</v>
      </c>
      <c r="B77" t="str">
        <f>IFERROR(_xlfn.XLOOKUP($A77,tblCustomers[Customer ID],tblCustomers[Customer Type]),"")</f>
        <v>Corporate</v>
      </c>
      <c r="C77" t="str">
        <f>IFERROR(_xlfn.XLOOKUP($A77,tblCustomers[Customer ID],tblCustomers[Country]),"")</f>
        <v>UAE</v>
      </c>
      <c r="D77" t="str">
        <f>IFERROR(_xlfn.XLOOKUP($A77,tblCustomers[Customer ID],tblCustomers[Occupation/Industry]),"")</f>
        <v>Oil &amp; Gas</v>
      </c>
      <c r="E77" t="str">
        <f>IFERROR(_xlfn.XLOOKUP($A77,tblCustomers[Customer ID],tblCustomers[Product Requested]),"")</f>
        <v>Savings</v>
      </c>
      <c r="F77" t="str">
        <f>IFERROR(_xlfn.XLOOKUP($A77,tblCustomers[Customer ID],tblCustomers[Delivery Channel]),"")</f>
        <v>Mobile App</v>
      </c>
      <c r="G77" t="str">
        <f>IFERROR(_xlfn.XLOOKUP($A77,tblScreening[Customer ID],tblScreening[Screening Result]),"")</f>
        <v>Clear</v>
      </c>
      <c r="H77">
        <f>IFERROR(_xlfn.XLOOKUP(B77,tblCustomerType[Customer Type],tblCustomerType[Risk Score]),0)</f>
        <v>3</v>
      </c>
      <c r="I77">
        <f>IFERROR(_xlfn.XLOOKUP(C77,tblCountryRisk[Country],tblCountryRisk[Risk Score]),0)</f>
        <v>3</v>
      </c>
      <c r="J77">
        <f>IFERROR(_xlfn.XLOOKUP(D77,tblOccupationRisk[Occupation],tblOccupationRisk[Risk Score]),0)</f>
        <v>0</v>
      </c>
      <c r="K77">
        <f>IFERROR(_xlfn.XLOOKUP(E77,tblProductRisk[Product],tblProductRisk[Risk Score]),0)</f>
        <v>1</v>
      </c>
      <c r="L77">
        <f>IFERROR(_xlfn.XLOOKUP(F77,tblChannelRisk[Channel],tblChannelRisk[Risk Score]),0)</f>
        <v>3</v>
      </c>
      <c r="M77">
        <f>IFERROR(_xlfn.XLOOKUP(G77,tblScreeningRisk[Screening Result],tblScreeningRisk[Risk Score]),0)</f>
        <v>1</v>
      </c>
      <c r="N77">
        <f>IFERROR(
_xlfn.MAXIFS(
'[1]Transaction Monitoring'!Q:Q,
'[1]Transaction Monitoring'!B:B,
A77
),
1
)</f>
        <v>1</v>
      </c>
      <c r="O77">
        <f t="shared" si="1"/>
        <v>12</v>
      </c>
      <c r="P77" t="str" cm="1">
        <f t="array" ref="P77">_xlfn.IFS(
O77&lt;=12,"Low",
O77&lt;=20,"Medium",
O77&lt;=30,"High",
TRUE,"Very High"
)</f>
        <v>Low</v>
      </c>
      <c r="Q77" t="str" cm="1">
        <f t="array" ref="Q77">_xlfn.IFS(
G77="Reject","EDD",
R77="Potential Match","EDD",
G77="EDD Review","EDD",
AND(S77="Yes",I77&gt;=4),"EDD",
T77="No","EDD",
TRUE,
_xlfn.XLOOKUP(
P77,
tblDueDiligence[Risk Rating],
tblDueDiligence[Due Diligence]
)
)</f>
        <v>SDD</v>
      </c>
      <c r="R77" t="str">
        <f>IFERROR(
_xlfn.XLOOKUP($A77,
tblScreening[Customer ID],
tblScreening[Sanction Match]),
"")</f>
        <v>No Match</v>
      </c>
      <c r="S77" t="str">
        <f>IFERROR(
_xlfn.XLOOKUP($A77,
tblScreening[Customer ID],
tblScreening[PEP]),
"")</f>
        <v>No</v>
      </c>
      <c r="T77" t="str">
        <f>IFERROR(
_xlfn.XLOOKUP($A77,
tblScreening[Customer ID],
tblScreening[Source of Wealth Obtained]),
"")</f>
        <v>Yes</v>
      </c>
      <c r="U77" t="str" cm="1">
        <f t="array" ref="U77">_xlfn.IFS(
G77="Reject","Screening Rejected",
R77="Potential Match","Potential Sanctions Match",
AND(S77="Yes",I77&gt;=4),"PEP in High-Risk Country",
T77="No","Missing Source of Wealth",
G77="EDD Review","EDD Review Required",
TRUE,"None"
)</f>
        <v>None</v>
      </c>
      <c r="V77" t="str" cm="1">
        <f t="array" ref="V77">_xlfn.IFS(
G77="Reject","Reject",
R77="Potential Match","Reject",
G77="EDD Review","Escalate",
AND(S77="Yes",I77&gt;=4),"Escalate",
T77="No","Escalate",
TRUE,
_xlfn.XLOOKUP(
Q77,
tblDecision[Due Diligence],
tblDecision[Decision]
)
)</f>
        <v>Approve</v>
      </c>
    </row>
    <row r="78" spans="1:22" x14ac:dyDescent="0.25">
      <c r="A78" t="s">
        <v>200</v>
      </c>
      <c r="B78" t="str">
        <f>IFERROR(_xlfn.XLOOKUP($A78,tblCustomers[Customer ID],tblCustomers[Customer Type]),"")</f>
        <v>Corporate</v>
      </c>
      <c r="C78" t="str">
        <f>IFERROR(_xlfn.XLOOKUP($A78,tblCustomers[Customer ID],tblCustomers[Country]),"")</f>
        <v>Ghana</v>
      </c>
      <c r="D78" t="str">
        <f>IFERROR(_xlfn.XLOOKUP($A78,tblCustomers[Customer ID],tblCustomers[Occupation/Industry]),"")</f>
        <v>Logistics</v>
      </c>
      <c r="E78" t="str">
        <f>IFERROR(_xlfn.XLOOKUP($A78,tblCustomers[Customer ID],tblCustomers[Product Requested]),"")</f>
        <v>Trade Finance</v>
      </c>
      <c r="F78" t="str">
        <f>IFERROR(_xlfn.XLOOKUP($A78,tblCustomers[Customer ID],tblCustomers[Delivery Channel]),"")</f>
        <v>Branch</v>
      </c>
      <c r="G78" t="str">
        <f>IFERROR(_xlfn.XLOOKUP($A78,tblScreening[Customer ID],tblScreening[Screening Result]),"")</f>
        <v>Clear</v>
      </c>
      <c r="H78">
        <f>IFERROR(_xlfn.XLOOKUP(B78,tblCustomerType[Customer Type],tblCustomerType[Risk Score]),0)</f>
        <v>3</v>
      </c>
      <c r="I78">
        <f>IFERROR(_xlfn.XLOOKUP(C78,tblCountryRisk[Country],tblCountryRisk[Risk Score]),0)</f>
        <v>2</v>
      </c>
      <c r="J78">
        <f>IFERROR(_xlfn.XLOOKUP(D78,tblOccupationRisk[Occupation],tblOccupationRisk[Risk Score]),0)</f>
        <v>0</v>
      </c>
      <c r="K78">
        <f>IFERROR(_xlfn.XLOOKUP(E78,tblProductRisk[Product],tblProductRisk[Risk Score]),0)</f>
        <v>4</v>
      </c>
      <c r="L78">
        <f>IFERROR(_xlfn.XLOOKUP(F78,tblChannelRisk[Channel],tblChannelRisk[Risk Score]),0)</f>
        <v>1</v>
      </c>
      <c r="M78">
        <f>IFERROR(_xlfn.XLOOKUP(G78,tblScreeningRisk[Screening Result],tblScreeningRisk[Risk Score]),0)</f>
        <v>1</v>
      </c>
      <c r="N78">
        <f>IFERROR(
_xlfn.MAXIFS(
'[1]Transaction Monitoring'!Q:Q,
'[1]Transaction Monitoring'!B:B,
A78
),
1
)</f>
        <v>1</v>
      </c>
      <c r="O78">
        <f t="shared" si="1"/>
        <v>12</v>
      </c>
      <c r="P78" t="str" cm="1">
        <f t="array" ref="P78">_xlfn.IFS(
O78&lt;=12,"Low",
O78&lt;=20,"Medium",
O78&lt;=30,"High",
TRUE,"Very High"
)</f>
        <v>Low</v>
      </c>
      <c r="Q78" t="str" cm="1">
        <f t="array" ref="Q78">_xlfn.IFS(
G78="Reject","EDD",
R78="Potential Match","EDD",
G78="EDD Review","EDD",
AND(S78="Yes",I78&gt;=4),"EDD",
T78="No","EDD",
TRUE,
_xlfn.XLOOKUP(
P78,
tblDueDiligence[Risk Rating],
tblDueDiligence[Due Diligence]
)
)</f>
        <v>SDD</v>
      </c>
      <c r="R78" t="str">
        <f>IFERROR(
_xlfn.XLOOKUP($A78,
tblScreening[Customer ID],
tblScreening[Sanction Match]),
"")</f>
        <v>No Match</v>
      </c>
      <c r="S78" t="str">
        <f>IFERROR(
_xlfn.XLOOKUP($A78,
tblScreening[Customer ID],
tblScreening[PEP]),
"")</f>
        <v>No</v>
      </c>
      <c r="T78" t="str">
        <f>IFERROR(
_xlfn.XLOOKUP($A78,
tblScreening[Customer ID],
tblScreening[Source of Wealth Obtained]),
"")</f>
        <v>Yes</v>
      </c>
      <c r="U78" t="str" cm="1">
        <f t="array" ref="U78">_xlfn.IFS(
G78="Reject","Screening Rejected",
R78="Potential Match","Potential Sanctions Match",
AND(S78="Yes",I78&gt;=4),"PEP in High-Risk Country",
T78="No","Missing Source of Wealth",
G78="EDD Review","EDD Review Required",
TRUE,"None"
)</f>
        <v>None</v>
      </c>
      <c r="V78" t="str" cm="1">
        <f t="array" ref="V78">_xlfn.IFS(
G78="Reject","Reject",
R78="Potential Match","Reject",
G78="EDD Review","Escalate",
AND(S78="Yes",I78&gt;=4),"Escalate",
T78="No","Escalate",
TRUE,
_xlfn.XLOOKUP(
Q78,
tblDecision[Due Diligence],
tblDecision[Decision]
)
)</f>
        <v>Approve</v>
      </c>
    </row>
    <row r="79" spans="1:22" x14ac:dyDescent="0.25">
      <c r="A79" t="s">
        <v>202</v>
      </c>
      <c r="B79" t="str">
        <f>IFERROR(_xlfn.XLOOKUP($A79,tblCustomers[Customer ID],tblCustomers[Customer Type]),"")</f>
        <v>Corporate</v>
      </c>
      <c r="C79" t="str">
        <f>IFERROR(_xlfn.XLOOKUP($A79,tblCustomers[Customer ID],tblCustomers[Country]),"")</f>
        <v>Kenya</v>
      </c>
      <c r="D79" t="str">
        <f>IFERROR(_xlfn.XLOOKUP($A79,tblCustomers[Customer ID],tblCustomers[Occupation/Industry]),"")</f>
        <v>FinTech</v>
      </c>
      <c r="E79" t="str">
        <f>IFERROR(_xlfn.XLOOKUP($A79,tblCustomers[Customer ID],tblCustomers[Product Requested]),"")</f>
        <v>Fixed Deposit</v>
      </c>
      <c r="F79" t="str">
        <f>IFERROR(_xlfn.XLOOKUP($A79,tblCustomers[Customer ID],tblCustomers[Delivery Channel]),"")</f>
        <v>Relationship Manager</v>
      </c>
      <c r="G79" t="str">
        <f>IFERROR(_xlfn.XLOOKUP($A79,tblScreening[Customer ID],tblScreening[Screening Result]),"")</f>
        <v>Review</v>
      </c>
      <c r="H79">
        <f>IFERROR(_xlfn.XLOOKUP(B79,tblCustomerType[Customer Type],tblCustomerType[Risk Score]),0)</f>
        <v>3</v>
      </c>
      <c r="I79">
        <f>IFERROR(_xlfn.XLOOKUP(C79,tblCountryRisk[Country],tblCountryRisk[Risk Score]),0)</f>
        <v>2</v>
      </c>
      <c r="J79">
        <f>IFERROR(_xlfn.XLOOKUP(D79,tblOccupationRisk[Occupation],tblOccupationRisk[Risk Score]),0)</f>
        <v>0</v>
      </c>
      <c r="K79">
        <f>IFERROR(_xlfn.XLOOKUP(E79,tblProductRisk[Product],tblProductRisk[Risk Score]),0)</f>
        <v>2</v>
      </c>
      <c r="L79">
        <f>IFERROR(_xlfn.XLOOKUP(F79,tblChannelRisk[Channel],tblChannelRisk[Risk Score]),0)</f>
        <v>2</v>
      </c>
      <c r="M79">
        <f>IFERROR(_xlfn.XLOOKUP(G79,tblScreeningRisk[Screening Result],tblScreeningRisk[Risk Score]),0)</f>
        <v>3</v>
      </c>
      <c r="N79">
        <f>IFERROR(
_xlfn.MAXIFS(
'[1]Transaction Monitoring'!Q:Q,
'[1]Transaction Monitoring'!B:B,
A79
),
1
)</f>
        <v>1</v>
      </c>
      <c r="O79">
        <f t="shared" si="1"/>
        <v>13</v>
      </c>
      <c r="P79" t="str" cm="1">
        <f t="array" ref="P79">_xlfn.IFS(
O79&lt;=12,"Low",
O79&lt;=20,"Medium",
O79&lt;=30,"High",
TRUE,"Very High"
)</f>
        <v>Medium</v>
      </c>
      <c r="Q79" t="str" cm="1">
        <f t="array" ref="Q79">_xlfn.IFS(
G79="Reject","EDD",
R79="Potential Match","EDD",
G79="EDD Review","EDD",
AND(S79="Yes",I79&gt;=4),"EDD",
T79="No","EDD",
TRUE,
_xlfn.XLOOKUP(
P79,
tblDueDiligence[Risk Rating],
tblDueDiligence[Due Diligence]
)
)</f>
        <v>CDD</v>
      </c>
      <c r="R79" t="str">
        <f>IFERROR(
_xlfn.XLOOKUP($A79,
tblScreening[Customer ID],
tblScreening[Sanction Match]),
"")</f>
        <v>No Match</v>
      </c>
      <c r="S79" t="str">
        <f>IFERROR(
_xlfn.XLOOKUP($A79,
tblScreening[Customer ID],
tblScreening[PEP]),
"")</f>
        <v>No</v>
      </c>
      <c r="T79" t="str">
        <f>IFERROR(
_xlfn.XLOOKUP($A79,
tblScreening[Customer ID],
tblScreening[Source of Wealth Obtained]),
"")</f>
        <v>Yes</v>
      </c>
      <c r="U79" t="str" cm="1">
        <f t="array" ref="U79">_xlfn.IFS(
G79="Reject","Screening Rejected",
R79="Potential Match","Potential Sanctions Match",
AND(S79="Yes",I79&gt;=4),"PEP in High-Risk Country",
T79="No","Missing Source of Wealth",
G79="EDD Review","EDD Review Required",
TRUE,"None"
)</f>
        <v>None</v>
      </c>
      <c r="V79" t="str" cm="1">
        <f t="array" ref="V79">_xlfn.IFS(
G79="Reject","Reject",
R79="Potential Match","Reject",
G79="EDD Review","Escalate",
AND(S79="Yes",I79&gt;=4),"Escalate",
T79="No","Escalate",
TRUE,
_xlfn.XLOOKUP(
Q79,
tblDecision[Due Diligence],
tblDecision[Decision]
)
)</f>
        <v>Approve</v>
      </c>
    </row>
    <row r="80" spans="1:22" x14ac:dyDescent="0.25">
      <c r="A80" t="s">
        <v>204</v>
      </c>
      <c r="B80" t="str">
        <f>IFERROR(_xlfn.XLOOKUP($A80,tblCustomers[Customer ID],tblCustomers[Customer Type]),"")</f>
        <v>Corporate</v>
      </c>
      <c r="C80" t="str">
        <f>IFERROR(_xlfn.XLOOKUP($A80,tblCustomers[Customer ID],tblCustomers[Country]),"")</f>
        <v>United Kingdom</v>
      </c>
      <c r="D80" t="str">
        <f>IFERROR(_xlfn.XLOOKUP($A80,tblCustomers[Customer ID],tblCustomers[Occupation/Industry]),"")</f>
        <v>Oil &amp; Gas</v>
      </c>
      <c r="E80" t="str">
        <f>IFERROR(_xlfn.XLOOKUP($A80,tblCustomers[Customer ID],tblCustomers[Product Requested]),"")</f>
        <v>Trade Finance</v>
      </c>
      <c r="F80" t="str">
        <f>IFERROR(_xlfn.XLOOKUP($A80,tblCustomers[Customer ID],tblCustomers[Delivery Channel]),"")</f>
        <v>Online</v>
      </c>
      <c r="G80" t="str">
        <f>IFERROR(_xlfn.XLOOKUP($A80,tblScreening[Customer ID],tblScreening[Screening Result]),"")</f>
        <v>Review</v>
      </c>
      <c r="H80">
        <f>IFERROR(_xlfn.XLOOKUP(B80,tblCustomerType[Customer Type],tblCustomerType[Risk Score]),0)</f>
        <v>3</v>
      </c>
      <c r="I80">
        <f>IFERROR(_xlfn.XLOOKUP(C80,tblCountryRisk[Country],tblCountryRisk[Risk Score]),0)</f>
        <v>1</v>
      </c>
      <c r="J80">
        <f>IFERROR(_xlfn.XLOOKUP(D80,tblOccupationRisk[Occupation],tblOccupationRisk[Risk Score]),0)</f>
        <v>0</v>
      </c>
      <c r="K80">
        <f>IFERROR(_xlfn.XLOOKUP(E80,tblProductRisk[Product],tblProductRisk[Risk Score]),0)</f>
        <v>4</v>
      </c>
      <c r="L80">
        <f>IFERROR(_xlfn.XLOOKUP(F80,tblChannelRisk[Channel],tblChannelRisk[Risk Score]),0)</f>
        <v>3</v>
      </c>
      <c r="M80">
        <f>IFERROR(_xlfn.XLOOKUP(G80,tblScreeningRisk[Screening Result],tblScreeningRisk[Risk Score]),0)</f>
        <v>3</v>
      </c>
      <c r="N80">
        <f>IFERROR(
_xlfn.MAXIFS(
'[1]Transaction Monitoring'!Q:Q,
'[1]Transaction Monitoring'!B:B,
A80
),
1
)</f>
        <v>1</v>
      </c>
      <c r="O80">
        <f t="shared" si="1"/>
        <v>15</v>
      </c>
      <c r="P80" t="str" cm="1">
        <f t="array" ref="P80">_xlfn.IFS(
O80&lt;=12,"Low",
O80&lt;=20,"Medium",
O80&lt;=30,"High",
TRUE,"Very High"
)</f>
        <v>Medium</v>
      </c>
      <c r="Q80" t="str" cm="1">
        <f t="array" ref="Q80">_xlfn.IFS(
G80="Reject","EDD",
R80="Potential Match","EDD",
G80="EDD Review","EDD",
AND(S80="Yes",I80&gt;=4),"EDD",
T80="No","EDD",
TRUE,
_xlfn.XLOOKUP(
P80,
tblDueDiligence[Risk Rating],
tblDueDiligence[Due Diligence]
)
)</f>
        <v>CDD</v>
      </c>
      <c r="R80" t="str">
        <f>IFERROR(
_xlfn.XLOOKUP($A80,
tblScreening[Customer ID],
tblScreening[Sanction Match]),
"")</f>
        <v>No Match</v>
      </c>
      <c r="S80" t="str">
        <f>IFERROR(
_xlfn.XLOOKUP($A80,
tblScreening[Customer ID],
tblScreening[PEP]),
"")</f>
        <v>Yes</v>
      </c>
      <c r="T80" t="str">
        <f>IFERROR(
_xlfn.XLOOKUP($A80,
tblScreening[Customer ID],
tblScreening[Source of Wealth Obtained]),
"")</f>
        <v>Yes</v>
      </c>
      <c r="U80" t="str" cm="1">
        <f t="array" ref="U80">_xlfn.IFS(
G80="Reject","Screening Rejected",
R80="Potential Match","Potential Sanctions Match",
AND(S80="Yes",I80&gt;=4),"PEP in High-Risk Country",
T80="No","Missing Source of Wealth",
G80="EDD Review","EDD Review Required",
TRUE,"None"
)</f>
        <v>None</v>
      </c>
      <c r="V80" t="str" cm="1">
        <f t="array" ref="V80">_xlfn.IFS(
G80="Reject","Reject",
R80="Potential Match","Reject",
G80="EDD Review","Escalate",
AND(S80="Yes",I80&gt;=4),"Escalate",
T80="No","Escalate",
TRUE,
_xlfn.XLOOKUP(
Q80,
tblDecision[Due Diligence],
tblDecision[Decision]
)
)</f>
        <v>Approve</v>
      </c>
    </row>
    <row r="81" spans="1:22" x14ac:dyDescent="0.25">
      <c r="A81" t="s">
        <v>206</v>
      </c>
      <c r="B81" t="str">
        <f>IFERROR(_xlfn.XLOOKUP($A81,tblCustomers[Customer ID],tblCustomers[Customer Type]),"")</f>
        <v>Corporate</v>
      </c>
      <c r="C81" t="str">
        <f>IFERROR(_xlfn.XLOOKUP($A81,tblCustomers[Customer ID],tblCustomers[Country]),"")</f>
        <v>Kenya</v>
      </c>
      <c r="D81" t="str">
        <f>IFERROR(_xlfn.XLOOKUP($A81,tblCustomers[Customer ID],tblCustomers[Occupation/Industry]),"")</f>
        <v>Logistics</v>
      </c>
      <c r="E81" t="str">
        <f>IFERROR(_xlfn.XLOOKUP($A81,tblCustomers[Customer ID],tblCustomers[Product Requested]),"")</f>
        <v>Current</v>
      </c>
      <c r="F81" t="str">
        <f>IFERROR(_xlfn.XLOOKUP($A81,tblCustomers[Customer ID],tblCustomers[Delivery Channel]),"")</f>
        <v>Relationship Manager</v>
      </c>
      <c r="G81" t="str">
        <f>IFERROR(_xlfn.XLOOKUP($A81,tblScreening[Customer ID],tblScreening[Screening Result]),"")</f>
        <v>Clear</v>
      </c>
      <c r="H81">
        <f>IFERROR(_xlfn.XLOOKUP(B81,tblCustomerType[Customer Type],tblCustomerType[Risk Score]),0)</f>
        <v>3</v>
      </c>
      <c r="I81">
        <f>IFERROR(_xlfn.XLOOKUP(C81,tblCountryRisk[Country],tblCountryRisk[Risk Score]),0)</f>
        <v>2</v>
      </c>
      <c r="J81">
        <f>IFERROR(_xlfn.XLOOKUP(D81,tblOccupationRisk[Occupation],tblOccupationRisk[Risk Score]),0)</f>
        <v>0</v>
      </c>
      <c r="K81">
        <f>IFERROR(_xlfn.XLOOKUP(E81,tblProductRisk[Product],tblProductRisk[Risk Score]),0)</f>
        <v>2</v>
      </c>
      <c r="L81">
        <f>IFERROR(_xlfn.XLOOKUP(F81,tblChannelRisk[Channel],tblChannelRisk[Risk Score]),0)</f>
        <v>2</v>
      </c>
      <c r="M81">
        <f>IFERROR(_xlfn.XLOOKUP(G81,tblScreeningRisk[Screening Result],tblScreeningRisk[Risk Score]),0)</f>
        <v>1</v>
      </c>
      <c r="N81">
        <f>IFERROR(
_xlfn.MAXIFS(
'[1]Transaction Monitoring'!Q:Q,
'[1]Transaction Monitoring'!B:B,
A81
),
1
)</f>
        <v>1</v>
      </c>
      <c r="O81">
        <f t="shared" si="1"/>
        <v>11</v>
      </c>
      <c r="P81" t="str" cm="1">
        <f t="array" ref="P81">_xlfn.IFS(
O81&lt;=12,"Low",
O81&lt;=20,"Medium",
O81&lt;=30,"High",
TRUE,"Very High"
)</f>
        <v>Low</v>
      </c>
      <c r="Q81" t="str" cm="1">
        <f t="array" ref="Q81">_xlfn.IFS(
G81="Reject","EDD",
R81="Potential Match","EDD",
G81="EDD Review","EDD",
AND(S81="Yes",I81&gt;=4),"EDD",
T81="No","EDD",
TRUE,
_xlfn.XLOOKUP(
P81,
tblDueDiligence[Risk Rating],
tblDueDiligence[Due Diligence]
)
)</f>
        <v>SDD</v>
      </c>
      <c r="R81" t="str">
        <f>IFERROR(
_xlfn.XLOOKUP($A81,
tblScreening[Customer ID],
tblScreening[Sanction Match]),
"")</f>
        <v>No Match</v>
      </c>
      <c r="S81" t="str">
        <f>IFERROR(
_xlfn.XLOOKUP($A81,
tblScreening[Customer ID],
tblScreening[PEP]),
"")</f>
        <v>No</v>
      </c>
      <c r="T81" t="str">
        <f>IFERROR(
_xlfn.XLOOKUP($A81,
tblScreening[Customer ID],
tblScreening[Source of Wealth Obtained]),
"")</f>
        <v>Yes</v>
      </c>
      <c r="U81" t="str" cm="1">
        <f t="array" ref="U81">_xlfn.IFS(
G81="Reject","Screening Rejected",
R81="Potential Match","Potential Sanctions Match",
AND(S81="Yes",I81&gt;=4),"PEP in High-Risk Country",
T81="No","Missing Source of Wealth",
G81="EDD Review","EDD Review Required",
TRUE,"None"
)</f>
        <v>None</v>
      </c>
      <c r="V81" t="str" cm="1">
        <f t="array" ref="V81">_xlfn.IFS(
G81="Reject","Reject",
R81="Potential Match","Reject",
G81="EDD Review","Escalate",
AND(S81="Yes",I81&gt;=4),"Escalate",
T81="No","Escalate",
TRUE,
_xlfn.XLOOKUP(
Q81,
tblDecision[Due Diligence],
tblDecision[Decision]
)
)</f>
        <v>Approve</v>
      </c>
    </row>
    <row r="82" spans="1:22" x14ac:dyDescent="0.25">
      <c r="A82" t="s">
        <v>208</v>
      </c>
      <c r="B82" t="str">
        <f>IFERROR(_xlfn.XLOOKUP($A82,tblCustomers[Customer ID],tblCustomers[Customer Type]),"")</f>
        <v>Corporate</v>
      </c>
      <c r="C82" t="str">
        <f>IFERROR(_xlfn.XLOOKUP($A82,tblCustomers[Customer ID],tblCustomers[Country]),"")</f>
        <v>Kenya</v>
      </c>
      <c r="D82" t="str">
        <f>IFERROR(_xlfn.XLOOKUP($A82,tblCustomers[Customer ID],tblCustomers[Occupation/Industry]),"")</f>
        <v>Manufacturing</v>
      </c>
      <c r="E82" t="str">
        <f>IFERROR(_xlfn.XLOOKUP($A82,tblCustomers[Customer ID],tblCustomers[Product Requested]),"")</f>
        <v>Fixed Deposit</v>
      </c>
      <c r="F82" t="str">
        <f>IFERROR(_xlfn.XLOOKUP($A82,tblCustomers[Customer ID],tblCustomers[Delivery Channel]),"")</f>
        <v>Mobile App</v>
      </c>
      <c r="G82" t="str">
        <f>IFERROR(_xlfn.XLOOKUP($A82,tblScreening[Customer ID],tblScreening[Screening Result]),"")</f>
        <v>Clear</v>
      </c>
      <c r="H82">
        <f>IFERROR(_xlfn.XLOOKUP(B82,tblCustomerType[Customer Type],tblCustomerType[Risk Score]),0)</f>
        <v>3</v>
      </c>
      <c r="I82">
        <f>IFERROR(_xlfn.XLOOKUP(C82,tblCountryRisk[Country],tblCountryRisk[Risk Score]),0)</f>
        <v>2</v>
      </c>
      <c r="J82">
        <f>IFERROR(_xlfn.XLOOKUP(D82,tblOccupationRisk[Occupation],tblOccupationRisk[Risk Score]),0)</f>
        <v>0</v>
      </c>
      <c r="K82">
        <f>IFERROR(_xlfn.XLOOKUP(E82,tblProductRisk[Product],tblProductRisk[Risk Score]),0)</f>
        <v>2</v>
      </c>
      <c r="L82">
        <f>IFERROR(_xlfn.XLOOKUP(F82,tblChannelRisk[Channel],tblChannelRisk[Risk Score]),0)</f>
        <v>3</v>
      </c>
      <c r="M82">
        <f>IFERROR(_xlfn.XLOOKUP(G82,tblScreeningRisk[Screening Result],tblScreeningRisk[Risk Score]),0)</f>
        <v>1</v>
      </c>
      <c r="N82">
        <f>IFERROR(
_xlfn.MAXIFS(
'[1]Transaction Monitoring'!Q:Q,
'[1]Transaction Monitoring'!B:B,
A82
),
1
)</f>
        <v>1</v>
      </c>
      <c r="O82">
        <f t="shared" si="1"/>
        <v>12</v>
      </c>
      <c r="P82" t="str" cm="1">
        <f t="array" ref="P82">_xlfn.IFS(
O82&lt;=12,"Low",
O82&lt;=20,"Medium",
O82&lt;=30,"High",
TRUE,"Very High"
)</f>
        <v>Low</v>
      </c>
      <c r="Q82" t="str" cm="1">
        <f t="array" ref="Q82">_xlfn.IFS(
G82="Reject","EDD",
R82="Potential Match","EDD",
G82="EDD Review","EDD",
AND(S82="Yes",I82&gt;=4),"EDD",
T82="No","EDD",
TRUE,
_xlfn.XLOOKUP(
P82,
tblDueDiligence[Risk Rating],
tblDueDiligence[Due Diligence]
)
)</f>
        <v>SDD</v>
      </c>
      <c r="R82" t="str">
        <f>IFERROR(
_xlfn.XLOOKUP($A82,
tblScreening[Customer ID],
tblScreening[Sanction Match]),
"")</f>
        <v>No Match</v>
      </c>
      <c r="S82" t="str">
        <f>IFERROR(
_xlfn.XLOOKUP($A82,
tblScreening[Customer ID],
tblScreening[PEP]),
"")</f>
        <v>No</v>
      </c>
      <c r="T82" t="str">
        <f>IFERROR(
_xlfn.XLOOKUP($A82,
tblScreening[Customer ID],
tblScreening[Source of Wealth Obtained]),
"")</f>
        <v>Yes</v>
      </c>
      <c r="U82" t="str" cm="1">
        <f t="array" ref="U82">_xlfn.IFS(
G82="Reject","Screening Rejected",
R82="Potential Match","Potential Sanctions Match",
AND(S82="Yes",I82&gt;=4),"PEP in High-Risk Country",
T82="No","Missing Source of Wealth",
G82="EDD Review","EDD Review Required",
TRUE,"None"
)</f>
        <v>None</v>
      </c>
      <c r="V82" t="str" cm="1">
        <f t="array" ref="V82">_xlfn.IFS(
G82="Reject","Reject",
R82="Potential Match","Reject",
G82="EDD Review","Escalate",
AND(S82="Yes",I82&gt;=4),"Escalate",
T82="No","Escalate",
TRUE,
_xlfn.XLOOKUP(
Q82,
tblDecision[Due Diligence],
tblDecision[Decision]
)
)</f>
        <v>Approve</v>
      </c>
    </row>
    <row r="83" spans="1:22" x14ac:dyDescent="0.25">
      <c r="A83" t="s">
        <v>210</v>
      </c>
      <c r="B83" t="str">
        <f>IFERROR(_xlfn.XLOOKUP($A83,tblCustomers[Customer ID],tblCustomers[Customer Type]),"")</f>
        <v>Corporate</v>
      </c>
      <c r="C83" t="str">
        <f>IFERROR(_xlfn.XLOOKUP($A83,tblCustomers[Customer ID],tblCustomers[Country]),"")</f>
        <v>Canada</v>
      </c>
      <c r="D83" t="str">
        <f>IFERROR(_xlfn.XLOOKUP($A83,tblCustomers[Customer ID],tblCustomers[Occupation/Industry]),"")</f>
        <v>Oil &amp; Gas</v>
      </c>
      <c r="E83" t="str">
        <f>IFERROR(_xlfn.XLOOKUP($A83,tblCustomers[Customer ID],tblCustomers[Product Requested]),"")</f>
        <v>Savings</v>
      </c>
      <c r="F83" t="str">
        <f>IFERROR(_xlfn.XLOOKUP($A83,tblCustomers[Customer ID],tblCustomers[Delivery Channel]),"")</f>
        <v>Mobile App</v>
      </c>
      <c r="G83" t="str">
        <f>IFERROR(_xlfn.XLOOKUP($A83,tblScreening[Customer ID],tblScreening[Screening Result]),"")</f>
        <v>EDD Review</v>
      </c>
      <c r="H83">
        <f>IFERROR(_xlfn.XLOOKUP(B83,tblCustomerType[Customer Type],tblCustomerType[Risk Score]),0)</f>
        <v>3</v>
      </c>
      <c r="I83">
        <f>IFERROR(_xlfn.XLOOKUP(C83,tblCountryRisk[Country],tblCountryRisk[Risk Score]),0)</f>
        <v>1</v>
      </c>
      <c r="J83">
        <f>IFERROR(_xlfn.XLOOKUP(D83,tblOccupationRisk[Occupation],tblOccupationRisk[Risk Score]),0)</f>
        <v>0</v>
      </c>
      <c r="K83">
        <f>IFERROR(_xlfn.XLOOKUP(E83,tblProductRisk[Product],tblProductRisk[Risk Score]),0)</f>
        <v>1</v>
      </c>
      <c r="L83">
        <f>IFERROR(_xlfn.XLOOKUP(F83,tblChannelRisk[Channel],tblChannelRisk[Risk Score]),0)</f>
        <v>3</v>
      </c>
      <c r="M83">
        <f>IFERROR(_xlfn.XLOOKUP(G83,tblScreeningRisk[Screening Result],tblScreeningRisk[Risk Score]),0)</f>
        <v>5</v>
      </c>
      <c r="N83">
        <f>IFERROR(
_xlfn.MAXIFS(
'[1]Transaction Monitoring'!Q:Q,
'[1]Transaction Monitoring'!B:B,
A83
),
1
)</f>
        <v>1</v>
      </c>
      <c r="O83">
        <f t="shared" si="1"/>
        <v>14</v>
      </c>
      <c r="P83" t="str" cm="1">
        <f t="array" ref="P83">_xlfn.IFS(
O83&lt;=12,"Low",
O83&lt;=20,"Medium",
O83&lt;=30,"High",
TRUE,"Very High"
)</f>
        <v>Medium</v>
      </c>
      <c r="Q83" t="str" cm="1">
        <f t="array" ref="Q83">_xlfn.IFS(
G83="Reject","EDD",
R83="Potential Match","EDD",
G83="EDD Review","EDD",
AND(S83="Yes",I83&gt;=4),"EDD",
T83="No","EDD",
TRUE,
_xlfn.XLOOKUP(
P83,
tblDueDiligence[Risk Rating],
tblDueDiligence[Due Diligence]
)
)</f>
        <v>EDD</v>
      </c>
      <c r="R83" t="str">
        <f>IFERROR(
_xlfn.XLOOKUP($A83,
tblScreening[Customer ID],
tblScreening[Sanction Match]),
"")</f>
        <v>No Match</v>
      </c>
      <c r="S83" t="str">
        <f>IFERROR(
_xlfn.XLOOKUP($A83,
tblScreening[Customer ID],
tblScreening[PEP]),
"")</f>
        <v>Yes</v>
      </c>
      <c r="T83" t="str">
        <f>IFERROR(
_xlfn.XLOOKUP($A83,
tblScreening[Customer ID],
tblScreening[Source of Wealth Obtained]),
"")</f>
        <v>Yes</v>
      </c>
      <c r="U83" t="str" cm="1">
        <f t="array" ref="U83">_xlfn.IFS(
G83="Reject","Screening Rejected",
R83="Potential Match","Potential Sanctions Match",
AND(S83="Yes",I83&gt;=4),"PEP in High-Risk Country",
T83="No","Missing Source of Wealth",
G83="EDD Review","EDD Review Required",
TRUE,"None"
)</f>
        <v>EDD Review Required</v>
      </c>
      <c r="V83" t="str" cm="1">
        <f t="array" ref="V83">_xlfn.IFS(
G83="Reject","Reject",
R83="Potential Match","Reject",
G83="EDD Review","Escalate",
AND(S83="Yes",I83&gt;=4),"Escalate",
T83="No","Escalate",
TRUE,
_xlfn.XLOOKUP(
Q83,
tblDecision[Due Diligence],
tblDecision[Decision]
)
)</f>
        <v>Escalate</v>
      </c>
    </row>
    <row r="84" spans="1:22" x14ac:dyDescent="0.25">
      <c r="A84" t="s">
        <v>212</v>
      </c>
      <c r="B84" t="str">
        <f>IFERROR(_xlfn.XLOOKUP($A84,tblCustomers[Customer ID],tblCustomers[Customer Type]),"")</f>
        <v>Corporate</v>
      </c>
      <c r="C84" t="str">
        <f>IFERROR(_xlfn.XLOOKUP($A84,tblCustomers[Customer ID],tblCustomers[Country]),"")</f>
        <v>Kenya</v>
      </c>
      <c r="D84" t="str">
        <f>IFERROR(_xlfn.XLOOKUP($A84,tblCustomers[Customer ID],tblCustomers[Occupation/Industry]),"")</f>
        <v>FinTech</v>
      </c>
      <c r="E84" t="str">
        <f>IFERROR(_xlfn.XLOOKUP($A84,tblCustomers[Customer ID],tblCustomers[Product Requested]),"")</f>
        <v>Fixed Deposit</v>
      </c>
      <c r="F84" t="str">
        <f>IFERROR(_xlfn.XLOOKUP($A84,tblCustomers[Customer ID],tblCustomers[Delivery Channel]),"")</f>
        <v>Online</v>
      </c>
      <c r="G84" t="str">
        <f>IFERROR(_xlfn.XLOOKUP($A84,tblScreening[Customer ID],tblScreening[Screening Result]),"")</f>
        <v>Reject</v>
      </c>
      <c r="H84">
        <f>IFERROR(_xlfn.XLOOKUP(B84,tblCustomerType[Customer Type],tblCustomerType[Risk Score]),0)</f>
        <v>3</v>
      </c>
      <c r="I84">
        <f>IFERROR(_xlfn.XLOOKUP(C84,tblCountryRisk[Country],tblCountryRisk[Risk Score]),0)</f>
        <v>2</v>
      </c>
      <c r="J84">
        <f>IFERROR(_xlfn.XLOOKUP(D84,tblOccupationRisk[Occupation],tblOccupationRisk[Risk Score]),0)</f>
        <v>0</v>
      </c>
      <c r="K84">
        <f>IFERROR(_xlfn.XLOOKUP(E84,tblProductRisk[Product],tblProductRisk[Risk Score]),0)</f>
        <v>2</v>
      </c>
      <c r="L84">
        <f>IFERROR(_xlfn.XLOOKUP(F84,tblChannelRisk[Channel],tblChannelRisk[Risk Score]),0)</f>
        <v>3</v>
      </c>
      <c r="M84">
        <f>IFERROR(_xlfn.XLOOKUP(G84,tblScreeningRisk[Screening Result],tblScreeningRisk[Risk Score]),0)</f>
        <v>10</v>
      </c>
      <c r="N84">
        <f>IFERROR(
_xlfn.MAXIFS(
'[1]Transaction Monitoring'!Q:Q,
'[1]Transaction Monitoring'!B:B,
A84
),
1
)</f>
        <v>1</v>
      </c>
      <c r="O84">
        <f t="shared" si="1"/>
        <v>21</v>
      </c>
      <c r="P84" t="str" cm="1">
        <f t="array" ref="P84">_xlfn.IFS(
O84&lt;=12,"Low",
O84&lt;=20,"Medium",
O84&lt;=30,"High",
TRUE,"Very High"
)</f>
        <v>High</v>
      </c>
      <c r="Q84" t="str" cm="1">
        <f t="array" ref="Q84">_xlfn.IFS(
G84="Reject","EDD",
R84="Potential Match","EDD",
G84="EDD Review","EDD",
AND(S84="Yes",I84&gt;=4),"EDD",
T84="No","EDD",
TRUE,
_xlfn.XLOOKUP(
P84,
tblDueDiligence[Risk Rating],
tblDueDiligence[Due Diligence]
)
)</f>
        <v>EDD</v>
      </c>
      <c r="R84" t="str">
        <f>IFERROR(
_xlfn.XLOOKUP($A84,
tblScreening[Customer ID],
tblScreening[Sanction Match]),
"")</f>
        <v>Potential Match</v>
      </c>
      <c r="S84" t="str">
        <f>IFERROR(
_xlfn.XLOOKUP($A84,
tblScreening[Customer ID],
tblScreening[PEP]),
"")</f>
        <v>No</v>
      </c>
      <c r="T84" t="str">
        <f>IFERROR(
_xlfn.XLOOKUP($A84,
tblScreening[Customer ID],
tblScreening[Source of Wealth Obtained]),
"")</f>
        <v>Yes</v>
      </c>
      <c r="U84" t="str" cm="1">
        <f t="array" ref="U84">_xlfn.IFS(
G84="Reject","Screening Rejected",
R84="Potential Match","Potential Sanctions Match",
AND(S84="Yes",I84&gt;=4),"PEP in High-Risk Country",
T84="No","Missing Source of Wealth",
G84="EDD Review","EDD Review Required",
TRUE,"None"
)</f>
        <v>Screening Rejected</v>
      </c>
      <c r="V84" t="str" cm="1">
        <f t="array" ref="V84">_xlfn.IFS(
G84="Reject","Reject",
R84="Potential Match","Reject",
G84="EDD Review","Escalate",
AND(S84="Yes",I84&gt;=4),"Escalate",
T84="No","Escalate",
TRUE,
_xlfn.XLOOKUP(
Q84,
tblDecision[Due Diligence],
tblDecision[Decision]
)
)</f>
        <v>Reject</v>
      </c>
    </row>
    <row r="85" spans="1:22" x14ac:dyDescent="0.25">
      <c r="A85" t="s">
        <v>214</v>
      </c>
      <c r="B85" t="str">
        <f>IFERROR(_xlfn.XLOOKUP($A85,tblCustomers[Customer ID],tblCustomers[Customer Type]),"")</f>
        <v>Corporate</v>
      </c>
      <c r="C85" t="str">
        <f>IFERROR(_xlfn.XLOOKUP($A85,tblCustomers[Customer ID],tblCustomers[Country]),"")</f>
        <v>Ghana</v>
      </c>
      <c r="D85" t="str">
        <f>IFERROR(_xlfn.XLOOKUP($A85,tblCustomers[Customer ID],tblCustomers[Occupation/Industry]),"")</f>
        <v>Manufacturing</v>
      </c>
      <c r="E85" t="str">
        <f>IFERROR(_xlfn.XLOOKUP($A85,tblCustomers[Customer ID],tblCustomers[Product Requested]),"")</f>
        <v>Fixed Deposit</v>
      </c>
      <c r="F85" t="str">
        <f>IFERROR(_xlfn.XLOOKUP($A85,tblCustomers[Customer ID],tblCustomers[Delivery Channel]),"")</f>
        <v>Mobile App</v>
      </c>
      <c r="G85" t="str">
        <f>IFERROR(_xlfn.XLOOKUP($A85,tblScreening[Customer ID],tblScreening[Screening Result]),"")</f>
        <v>Review</v>
      </c>
      <c r="H85">
        <f>IFERROR(_xlfn.XLOOKUP(B85,tblCustomerType[Customer Type],tblCustomerType[Risk Score]),0)</f>
        <v>3</v>
      </c>
      <c r="I85">
        <f>IFERROR(_xlfn.XLOOKUP(C85,tblCountryRisk[Country],tblCountryRisk[Risk Score]),0)</f>
        <v>2</v>
      </c>
      <c r="J85">
        <f>IFERROR(_xlfn.XLOOKUP(D85,tblOccupationRisk[Occupation],tblOccupationRisk[Risk Score]),0)</f>
        <v>0</v>
      </c>
      <c r="K85">
        <f>IFERROR(_xlfn.XLOOKUP(E85,tblProductRisk[Product],tblProductRisk[Risk Score]),0)</f>
        <v>2</v>
      </c>
      <c r="L85">
        <f>IFERROR(_xlfn.XLOOKUP(F85,tblChannelRisk[Channel],tblChannelRisk[Risk Score]),0)</f>
        <v>3</v>
      </c>
      <c r="M85">
        <f>IFERROR(_xlfn.XLOOKUP(G85,tblScreeningRisk[Screening Result],tblScreeningRisk[Risk Score]),0)</f>
        <v>3</v>
      </c>
      <c r="N85">
        <f>IFERROR(
_xlfn.MAXIFS(
'[1]Transaction Monitoring'!Q:Q,
'[1]Transaction Monitoring'!B:B,
A85
),
1
)</f>
        <v>1</v>
      </c>
      <c r="O85">
        <f t="shared" si="1"/>
        <v>14</v>
      </c>
      <c r="P85" t="str" cm="1">
        <f t="array" ref="P85">_xlfn.IFS(
O85&lt;=12,"Low",
O85&lt;=20,"Medium",
O85&lt;=30,"High",
TRUE,"Very High"
)</f>
        <v>Medium</v>
      </c>
      <c r="Q85" t="str" cm="1">
        <f t="array" ref="Q85">_xlfn.IFS(
G85="Reject","EDD",
R85="Potential Match","EDD",
G85="EDD Review","EDD",
AND(S85="Yes",I85&gt;=4),"EDD",
T85="No","EDD",
TRUE,
_xlfn.XLOOKUP(
P85,
tblDueDiligence[Risk Rating],
tblDueDiligence[Due Diligence]
)
)</f>
        <v>CDD</v>
      </c>
      <c r="R85" t="str">
        <f>IFERROR(
_xlfn.XLOOKUP($A85,
tblScreening[Customer ID],
tblScreening[Sanction Match]),
"")</f>
        <v>No Match</v>
      </c>
      <c r="S85" t="str">
        <f>IFERROR(
_xlfn.XLOOKUP($A85,
tblScreening[Customer ID],
tblScreening[PEP]),
"")</f>
        <v>Yes</v>
      </c>
      <c r="T85" t="str">
        <f>IFERROR(
_xlfn.XLOOKUP($A85,
tblScreening[Customer ID],
tblScreening[Source of Wealth Obtained]),
"")</f>
        <v>Yes</v>
      </c>
      <c r="U85" t="str" cm="1">
        <f t="array" ref="U85">_xlfn.IFS(
G85="Reject","Screening Rejected",
R85="Potential Match","Potential Sanctions Match",
AND(S85="Yes",I85&gt;=4),"PEP in High-Risk Country",
T85="No","Missing Source of Wealth",
G85="EDD Review","EDD Review Required",
TRUE,"None"
)</f>
        <v>None</v>
      </c>
      <c r="V85" t="str" cm="1">
        <f t="array" ref="V85">_xlfn.IFS(
G85="Reject","Reject",
R85="Potential Match","Reject",
G85="EDD Review","Escalate",
AND(S85="Yes",I85&gt;=4),"Escalate",
T85="No","Escalate",
TRUE,
_xlfn.XLOOKUP(
Q85,
tblDecision[Due Diligence],
tblDecision[Decision]
)
)</f>
        <v>Approve</v>
      </c>
    </row>
    <row r="86" spans="1:22" x14ac:dyDescent="0.25">
      <c r="A86" t="s">
        <v>216</v>
      </c>
      <c r="B86" t="str">
        <f>IFERROR(_xlfn.XLOOKUP($A86,tblCustomers[Customer ID],tblCustomers[Customer Type]),"")</f>
        <v>Corporate</v>
      </c>
      <c r="C86" t="str">
        <f>IFERROR(_xlfn.XLOOKUP($A86,tblCustomers[Customer ID],tblCustomers[Country]),"")</f>
        <v>United Kingdom</v>
      </c>
      <c r="D86" t="str">
        <f>IFERROR(_xlfn.XLOOKUP($A86,tblCustomers[Customer ID],tblCustomers[Occupation/Industry]),"")</f>
        <v>Agriculture</v>
      </c>
      <c r="E86" t="str">
        <f>IFERROR(_xlfn.XLOOKUP($A86,tblCustomers[Customer ID],tblCustomers[Product Requested]),"")</f>
        <v>Trade Finance</v>
      </c>
      <c r="F86" t="str">
        <f>IFERROR(_xlfn.XLOOKUP($A86,tblCustomers[Customer ID],tblCustomers[Delivery Channel]),"")</f>
        <v>Online</v>
      </c>
      <c r="G86" t="str">
        <f>IFERROR(_xlfn.XLOOKUP($A86,tblScreening[Customer ID],tblScreening[Screening Result]),"")</f>
        <v>Clear</v>
      </c>
      <c r="H86">
        <f>IFERROR(_xlfn.XLOOKUP(B86,tblCustomerType[Customer Type],tblCustomerType[Risk Score]),0)</f>
        <v>3</v>
      </c>
      <c r="I86">
        <f>IFERROR(_xlfn.XLOOKUP(C86,tblCountryRisk[Country],tblCountryRisk[Risk Score]),0)</f>
        <v>1</v>
      </c>
      <c r="J86">
        <f>IFERROR(_xlfn.XLOOKUP(D86,tblOccupationRisk[Occupation],tblOccupationRisk[Risk Score]),0)</f>
        <v>0</v>
      </c>
      <c r="K86">
        <f>IFERROR(_xlfn.XLOOKUP(E86,tblProductRisk[Product],tblProductRisk[Risk Score]),0)</f>
        <v>4</v>
      </c>
      <c r="L86">
        <f>IFERROR(_xlfn.XLOOKUP(F86,tblChannelRisk[Channel],tblChannelRisk[Risk Score]),0)</f>
        <v>3</v>
      </c>
      <c r="M86">
        <f>IFERROR(_xlfn.XLOOKUP(G86,tblScreeningRisk[Screening Result],tblScreeningRisk[Risk Score]),0)</f>
        <v>1</v>
      </c>
      <c r="N86">
        <f>IFERROR(
_xlfn.MAXIFS(
'[1]Transaction Monitoring'!Q:Q,
'[1]Transaction Monitoring'!B:B,
A86
),
1
)</f>
        <v>1</v>
      </c>
      <c r="O86">
        <f t="shared" si="1"/>
        <v>13</v>
      </c>
      <c r="P86" t="str" cm="1">
        <f t="array" ref="P86">_xlfn.IFS(
O86&lt;=12,"Low",
O86&lt;=20,"Medium",
O86&lt;=30,"High",
TRUE,"Very High"
)</f>
        <v>Medium</v>
      </c>
      <c r="Q86" t="str" cm="1">
        <f t="array" ref="Q86">_xlfn.IFS(
G86="Reject","EDD",
R86="Potential Match","EDD",
G86="EDD Review","EDD",
AND(S86="Yes",I86&gt;=4),"EDD",
T86="No","EDD",
TRUE,
_xlfn.XLOOKUP(
P86,
tblDueDiligence[Risk Rating],
tblDueDiligence[Due Diligence]
)
)</f>
        <v>CDD</v>
      </c>
      <c r="R86" t="str">
        <f>IFERROR(
_xlfn.XLOOKUP($A86,
tblScreening[Customer ID],
tblScreening[Sanction Match]),
"")</f>
        <v>No Match</v>
      </c>
      <c r="S86" t="str">
        <f>IFERROR(
_xlfn.XLOOKUP($A86,
tblScreening[Customer ID],
tblScreening[PEP]),
"")</f>
        <v>No</v>
      </c>
      <c r="T86" t="str">
        <f>IFERROR(
_xlfn.XLOOKUP($A86,
tblScreening[Customer ID],
tblScreening[Source of Wealth Obtained]),
"")</f>
        <v>Yes</v>
      </c>
      <c r="U86" t="str" cm="1">
        <f t="array" ref="U86">_xlfn.IFS(
G86="Reject","Screening Rejected",
R86="Potential Match","Potential Sanctions Match",
AND(S86="Yes",I86&gt;=4),"PEP in High-Risk Country",
T86="No","Missing Source of Wealth",
G86="EDD Review","EDD Review Required",
TRUE,"None"
)</f>
        <v>None</v>
      </c>
      <c r="V86" t="str" cm="1">
        <f t="array" ref="V86">_xlfn.IFS(
G86="Reject","Reject",
R86="Potential Match","Reject",
G86="EDD Review","Escalate",
AND(S86="Yes",I86&gt;=4),"Escalate",
T86="No","Escalate",
TRUE,
_xlfn.XLOOKUP(
Q86,
tblDecision[Due Diligence],
tblDecision[Decision]
)
)</f>
        <v>Approve</v>
      </c>
    </row>
    <row r="87" spans="1:22" x14ac:dyDescent="0.25">
      <c r="A87" t="s">
        <v>218</v>
      </c>
      <c r="B87" t="str">
        <f>IFERROR(_xlfn.XLOOKUP($A87,tblCustomers[Customer ID],tblCustomers[Customer Type]),"")</f>
        <v>Corporate</v>
      </c>
      <c r="C87" t="str">
        <f>IFERROR(_xlfn.XLOOKUP($A87,tblCustomers[Customer ID],tblCustomers[Country]),"")</f>
        <v>United States</v>
      </c>
      <c r="D87" t="str">
        <f>IFERROR(_xlfn.XLOOKUP($A87,tblCustomers[Customer ID],tblCustomers[Occupation/Industry]),"")</f>
        <v>Agriculture</v>
      </c>
      <c r="E87" t="str">
        <f>IFERROR(_xlfn.XLOOKUP($A87,tblCustomers[Customer ID],tblCustomers[Product Requested]),"")</f>
        <v>Fixed Deposit</v>
      </c>
      <c r="F87" t="str">
        <f>IFERROR(_xlfn.XLOOKUP($A87,tblCustomers[Customer ID],tblCustomers[Delivery Channel]),"")</f>
        <v>Relationship Manager</v>
      </c>
      <c r="G87" t="str">
        <f>IFERROR(_xlfn.XLOOKUP($A87,tblScreening[Customer ID],tblScreening[Screening Result]),"")</f>
        <v>Clear</v>
      </c>
      <c r="H87">
        <f>IFERROR(_xlfn.XLOOKUP(B87,tblCustomerType[Customer Type],tblCustomerType[Risk Score]),0)</f>
        <v>3</v>
      </c>
      <c r="I87">
        <f>IFERROR(_xlfn.XLOOKUP(C87,tblCountryRisk[Country],tblCountryRisk[Risk Score]),0)</f>
        <v>1</v>
      </c>
      <c r="J87">
        <f>IFERROR(_xlfn.XLOOKUP(D87,tblOccupationRisk[Occupation],tblOccupationRisk[Risk Score]),0)</f>
        <v>0</v>
      </c>
      <c r="K87">
        <f>IFERROR(_xlfn.XLOOKUP(E87,tblProductRisk[Product],tblProductRisk[Risk Score]),0)</f>
        <v>2</v>
      </c>
      <c r="L87">
        <f>IFERROR(_xlfn.XLOOKUP(F87,tblChannelRisk[Channel],tblChannelRisk[Risk Score]),0)</f>
        <v>2</v>
      </c>
      <c r="M87">
        <f>IFERROR(_xlfn.XLOOKUP(G87,tblScreeningRisk[Screening Result],tblScreeningRisk[Risk Score]),0)</f>
        <v>1</v>
      </c>
      <c r="N87">
        <f>IFERROR(
_xlfn.MAXIFS(
'[1]Transaction Monitoring'!Q:Q,
'[1]Transaction Monitoring'!B:B,
A87
),
1
)</f>
        <v>1</v>
      </c>
      <c r="O87">
        <f t="shared" si="1"/>
        <v>10</v>
      </c>
      <c r="P87" t="str" cm="1">
        <f t="array" ref="P87">_xlfn.IFS(
O87&lt;=12,"Low",
O87&lt;=20,"Medium",
O87&lt;=30,"High",
TRUE,"Very High"
)</f>
        <v>Low</v>
      </c>
      <c r="Q87" t="str" cm="1">
        <f t="array" ref="Q87">_xlfn.IFS(
G87="Reject","EDD",
R87="Potential Match","EDD",
G87="EDD Review","EDD",
AND(S87="Yes",I87&gt;=4),"EDD",
T87="No","EDD",
TRUE,
_xlfn.XLOOKUP(
P87,
tblDueDiligence[Risk Rating],
tblDueDiligence[Due Diligence]
)
)</f>
        <v>SDD</v>
      </c>
      <c r="R87" t="str">
        <f>IFERROR(
_xlfn.XLOOKUP($A87,
tblScreening[Customer ID],
tblScreening[Sanction Match]),
"")</f>
        <v>No Match</v>
      </c>
      <c r="S87" t="str">
        <f>IFERROR(
_xlfn.XLOOKUP($A87,
tblScreening[Customer ID],
tblScreening[PEP]),
"")</f>
        <v>No</v>
      </c>
      <c r="T87" t="str">
        <f>IFERROR(
_xlfn.XLOOKUP($A87,
tblScreening[Customer ID],
tblScreening[Source of Wealth Obtained]),
"")</f>
        <v>Yes</v>
      </c>
      <c r="U87" t="str" cm="1">
        <f t="array" ref="U87">_xlfn.IFS(
G87="Reject","Screening Rejected",
R87="Potential Match","Potential Sanctions Match",
AND(S87="Yes",I87&gt;=4),"PEP in High-Risk Country",
T87="No","Missing Source of Wealth",
G87="EDD Review","EDD Review Required",
TRUE,"None"
)</f>
        <v>None</v>
      </c>
      <c r="V87" t="str" cm="1">
        <f t="array" ref="V87">_xlfn.IFS(
G87="Reject","Reject",
R87="Potential Match","Reject",
G87="EDD Review","Escalate",
AND(S87="Yes",I87&gt;=4),"Escalate",
T87="No","Escalate",
TRUE,
_xlfn.XLOOKUP(
Q87,
tblDecision[Due Diligence],
tblDecision[Decision]
)
)</f>
        <v>Approve</v>
      </c>
    </row>
    <row r="88" spans="1:22" x14ac:dyDescent="0.25">
      <c r="A88" t="s">
        <v>220</v>
      </c>
      <c r="B88" t="str">
        <f>IFERROR(_xlfn.XLOOKUP($A88,tblCustomers[Customer ID],tblCustomers[Customer Type]),"")</f>
        <v>Corporate</v>
      </c>
      <c r="C88" t="str">
        <f>IFERROR(_xlfn.XLOOKUP($A88,tblCustomers[Customer ID],tblCustomers[Country]),"")</f>
        <v>Canada</v>
      </c>
      <c r="D88" t="str">
        <f>IFERROR(_xlfn.XLOOKUP($A88,tblCustomers[Customer ID],tblCustomers[Occupation/Industry]),"")</f>
        <v>FinTech</v>
      </c>
      <c r="E88" t="str">
        <f>IFERROR(_xlfn.XLOOKUP($A88,tblCustomers[Customer ID],tblCustomers[Product Requested]),"")</f>
        <v>Savings</v>
      </c>
      <c r="F88" t="str">
        <f>IFERROR(_xlfn.XLOOKUP($A88,tblCustomers[Customer ID],tblCustomers[Delivery Channel]),"")</f>
        <v>Mobile App</v>
      </c>
      <c r="G88" t="str">
        <f>IFERROR(_xlfn.XLOOKUP($A88,tblScreening[Customer ID],tblScreening[Screening Result]),"")</f>
        <v>Review</v>
      </c>
      <c r="H88">
        <f>IFERROR(_xlfn.XLOOKUP(B88,tblCustomerType[Customer Type],tblCustomerType[Risk Score]),0)</f>
        <v>3</v>
      </c>
      <c r="I88">
        <f>IFERROR(_xlfn.XLOOKUP(C88,tblCountryRisk[Country],tblCountryRisk[Risk Score]),0)</f>
        <v>1</v>
      </c>
      <c r="J88">
        <f>IFERROR(_xlfn.XLOOKUP(D88,tblOccupationRisk[Occupation],tblOccupationRisk[Risk Score]),0)</f>
        <v>0</v>
      </c>
      <c r="K88">
        <f>IFERROR(_xlfn.XLOOKUP(E88,tblProductRisk[Product],tblProductRisk[Risk Score]),0)</f>
        <v>1</v>
      </c>
      <c r="L88">
        <f>IFERROR(_xlfn.XLOOKUP(F88,tblChannelRisk[Channel],tblChannelRisk[Risk Score]),0)</f>
        <v>3</v>
      </c>
      <c r="M88">
        <f>IFERROR(_xlfn.XLOOKUP(G88,tblScreeningRisk[Screening Result],tblScreeningRisk[Risk Score]),0)</f>
        <v>3</v>
      </c>
      <c r="N88">
        <f>IFERROR(
_xlfn.MAXIFS(
'[1]Transaction Monitoring'!Q:Q,
'[1]Transaction Monitoring'!B:B,
A88
),
1
)</f>
        <v>1</v>
      </c>
      <c r="O88">
        <f t="shared" si="1"/>
        <v>12</v>
      </c>
      <c r="P88" t="str" cm="1">
        <f t="array" ref="P88">_xlfn.IFS(
O88&lt;=12,"Low",
O88&lt;=20,"Medium",
O88&lt;=30,"High",
TRUE,"Very High"
)</f>
        <v>Low</v>
      </c>
      <c r="Q88" t="str" cm="1">
        <f t="array" ref="Q88">_xlfn.IFS(
G88="Reject","EDD",
R88="Potential Match","EDD",
G88="EDD Review","EDD",
AND(S88="Yes",I88&gt;=4),"EDD",
T88="No","EDD",
TRUE,
_xlfn.XLOOKUP(
P88,
tblDueDiligence[Risk Rating],
tblDueDiligence[Due Diligence]
)
)</f>
        <v>SDD</v>
      </c>
      <c r="R88" t="str">
        <f>IFERROR(
_xlfn.XLOOKUP($A88,
tblScreening[Customer ID],
tblScreening[Sanction Match]),
"")</f>
        <v>No Match</v>
      </c>
      <c r="S88" t="str">
        <f>IFERROR(
_xlfn.XLOOKUP($A88,
tblScreening[Customer ID],
tblScreening[PEP]),
"")</f>
        <v>Yes</v>
      </c>
      <c r="T88" t="str">
        <f>IFERROR(
_xlfn.XLOOKUP($A88,
tblScreening[Customer ID],
tblScreening[Source of Wealth Obtained]),
"")</f>
        <v>Yes</v>
      </c>
      <c r="U88" t="str" cm="1">
        <f t="array" ref="U88">_xlfn.IFS(
G88="Reject","Screening Rejected",
R88="Potential Match","Potential Sanctions Match",
AND(S88="Yes",I88&gt;=4),"PEP in High-Risk Country",
T88="No","Missing Source of Wealth",
G88="EDD Review","EDD Review Required",
TRUE,"None"
)</f>
        <v>None</v>
      </c>
      <c r="V88" t="str" cm="1">
        <f t="array" ref="V88">_xlfn.IFS(
G88="Reject","Reject",
R88="Potential Match","Reject",
G88="EDD Review","Escalate",
AND(S88="Yes",I88&gt;=4),"Escalate",
T88="No","Escalate",
TRUE,
_xlfn.XLOOKUP(
Q88,
tblDecision[Due Diligence],
tblDecision[Decision]
)
)</f>
        <v>Approve</v>
      </c>
    </row>
    <row r="89" spans="1:22" x14ac:dyDescent="0.25">
      <c r="A89" t="s">
        <v>222</v>
      </c>
      <c r="B89" t="str">
        <f>IFERROR(_xlfn.XLOOKUP($A89,tblCustomers[Customer ID],tblCustomers[Customer Type]),"")</f>
        <v>Corporate</v>
      </c>
      <c r="C89" t="str">
        <f>IFERROR(_xlfn.XLOOKUP($A89,tblCustomers[Customer ID],tblCustomers[Country]),"")</f>
        <v>Ghana</v>
      </c>
      <c r="D89" t="str">
        <f>IFERROR(_xlfn.XLOOKUP($A89,tblCustomers[Customer ID],tblCustomers[Occupation/Industry]),"")</f>
        <v>FinTech</v>
      </c>
      <c r="E89" t="str">
        <f>IFERROR(_xlfn.XLOOKUP($A89,tblCustomers[Customer ID],tblCustomers[Product Requested]),"")</f>
        <v>Investment</v>
      </c>
      <c r="F89" t="str">
        <f>IFERROR(_xlfn.XLOOKUP($A89,tblCustomers[Customer ID],tblCustomers[Delivery Channel]),"")</f>
        <v>Mobile App</v>
      </c>
      <c r="G89" t="str">
        <f>IFERROR(_xlfn.XLOOKUP($A89,tblScreening[Customer ID],tblScreening[Screening Result]),"")</f>
        <v>Review</v>
      </c>
      <c r="H89">
        <f>IFERROR(_xlfn.XLOOKUP(B89,tblCustomerType[Customer Type],tblCustomerType[Risk Score]),0)</f>
        <v>3</v>
      </c>
      <c r="I89">
        <f>IFERROR(_xlfn.XLOOKUP(C89,tblCountryRisk[Country],tblCountryRisk[Risk Score]),0)</f>
        <v>2</v>
      </c>
      <c r="J89">
        <f>IFERROR(_xlfn.XLOOKUP(D89,tblOccupationRisk[Occupation],tblOccupationRisk[Risk Score]),0)</f>
        <v>0</v>
      </c>
      <c r="K89">
        <f>IFERROR(_xlfn.XLOOKUP(E89,tblProductRisk[Product],tblProductRisk[Risk Score]),0)</f>
        <v>3</v>
      </c>
      <c r="L89">
        <f>IFERROR(_xlfn.XLOOKUP(F89,tblChannelRisk[Channel],tblChannelRisk[Risk Score]),0)</f>
        <v>3</v>
      </c>
      <c r="M89">
        <f>IFERROR(_xlfn.XLOOKUP(G89,tblScreeningRisk[Screening Result],tblScreeningRisk[Risk Score]),0)</f>
        <v>3</v>
      </c>
      <c r="N89">
        <f>IFERROR(
_xlfn.MAXIFS(
'[1]Transaction Monitoring'!Q:Q,
'[1]Transaction Monitoring'!B:B,
A89
),
1
)</f>
        <v>1</v>
      </c>
      <c r="O89">
        <f t="shared" si="1"/>
        <v>15</v>
      </c>
      <c r="P89" t="str" cm="1">
        <f t="array" ref="P89">_xlfn.IFS(
O89&lt;=12,"Low",
O89&lt;=20,"Medium",
O89&lt;=30,"High",
TRUE,"Very High"
)</f>
        <v>Medium</v>
      </c>
      <c r="Q89" t="str" cm="1">
        <f t="array" ref="Q89">_xlfn.IFS(
G89="Reject","EDD",
R89="Potential Match","EDD",
G89="EDD Review","EDD",
AND(S89="Yes",I89&gt;=4),"EDD",
T89="No","EDD",
TRUE,
_xlfn.XLOOKUP(
P89,
tblDueDiligence[Risk Rating],
tblDueDiligence[Due Diligence]
)
)</f>
        <v>CDD</v>
      </c>
      <c r="R89" t="str">
        <f>IFERROR(
_xlfn.XLOOKUP($A89,
tblScreening[Customer ID],
tblScreening[Sanction Match]),
"")</f>
        <v>No Match</v>
      </c>
      <c r="S89" t="str">
        <f>IFERROR(
_xlfn.XLOOKUP($A89,
tblScreening[Customer ID],
tblScreening[PEP]),
"")</f>
        <v>Yes</v>
      </c>
      <c r="T89" t="str">
        <f>IFERROR(
_xlfn.XLOOKUP($A89,
tblScreening[Customer ID],
tblScreening[Source of Wealth Obtained]),
"")</f>
        <v>Yes</v>
      </c>
      <c r="U89" t="str" cm="1">
        <f t="array" ref="U89">_xlfn.IFS(
G89="Reject","Screening Rejected",
R89="Potential Match","Potential Sanctions Match",
AND(S89="Yes",I89&gt;=4),"PEP in High-Risk Country",
T89="No","Missing Source of Wealth",
G89="EDD Review","EDD Review Required",
TRUE,"None"
)</f>
        <v>None</v>
      </c>
      <c r="V89" t="str" cm="1">
        <f t="array" ref="V89">_xlfn.IFS(
G89="Reject","Reject",
R89="Potential Match","Reject",
G89="EDD Review","Escalate",
AND(S89="Yes",I89&gt;=4),"Escalate",
T89="No","Escalate",
TRUE,
_xlfn.XLOOKUP(
Q89,
tblDecision[Due Diligence],
tblDecision[Decision]
)
)</f>
        <v>Approve</v>
      </c>
    </row>
    <row r="90" spans="1:22" x14ac:dyDescent="0.25">
      <c r="A90" t="s">
        <v>224</v>
      </c>
      <c r="B90" t="str">
        <f>IFERROR(_xlfn.XLOOKUP($A90,tblCustomers[Customer ID],tblCustomers[Customer Type]),"")</f>
        <v>Corporate</v>
      </c>
      <c r="C90" t="str">
        <f>IFERROR(_xlfn.XLOOKUP($A90,tblCustomers[Customer ID],tblCustomers[Country]),"")</f>
        <v>Canada</v>
      </c>
      <c r="D90" t="str">
        <f>IFERROR(_xlfn.XLOOKUP($A90,tblCustomers[Customer ID],tblCustomers[Occupation/Industry]),"")</f>
        <v>Oil &amp; Gas</v>
      </c>
      <c r="E90" t="str">
        <f>IFERROR(_xlfn.XLOOKUP($A90,tblCustomers[Customer ID],tblCustomers[Product Requested]),"")</f>
        <v>Fixed Deposit</v>
      </c>
      <c r="F90" t="str">
        <f>IFERROR(_xlfn.XLOOKUP($A90,tblCustomers[Customer ID],tblCustomers[Delivery Channel]),"")</f>
        <v>Relationship Manager</v>
      </c>
      <c r="G90" t="str">
        <f>IFERROR(_xlfn.XLOOKUP($A90,tblScreening[Customer ID],tblScreening[Screening Result]),"")</f>
        <v>Clear</v>
      </c>
      <c r="H90">
        <f>IFERROR(_xlfn.XLOOKUP(B90,tblCustomerType[Customer Type],tblCustomerType[Risk Score]),0)</f>
        <v>3</v>
      </c>
      <c r="I90">
        <f>IFERROR(_xlfn.XLOOKUP(C90,tblCountryRisk[Country],tblCountryRisk[Risk Score]),0)</f>
        <v>1</v>
      </c>
      <c r="J90">
        <f>IFERROR(_xlfn.XLOOKUP(D90,tblOccupationRisk[Occupation],tblOccupationRisk[Risk Score]),0)</f>
        <v>0</v>
      </c>
      <c r="K90">
        <f>IFERROR(_xlfn.XLOOKUP(E90,tblProductRisk[Product],tblProductRisk[Risk Score]),0)</f>
        <v>2</v>
      </c>
      <c r="L90">
        <f>IFERROR(_xlfn.XLOOKUP(F90,tblChannelRisk[Channel],tblChannelRisk[Risk Score]),0)</f>
        <v>2</v>
      </c>
      <c r="M90">
        <f>IFERROR(_xlfn.XLOOKUP(G90,tblScreeningRisk[Screening Result],tblScreeningRisk[Risk Score]),0)</f>
        <v>1</v>
      </c>
      <c r="N90">
        <f>IFERROR(
_xlfn.MAXIFS(
'[1]Transaction Monitoring'!Q:Q,
'[1]Transaction Monitoring'!B:B,
A90
),
1
)</f>
        <v>1</v>
      </c>
      <c r="O90">
        <f t="shared" si="1"/>
        <v>10</v>
      </c>
      <c r="P90" t="str" cm="1">
        <f t="array" ref="P90">_xlfn.IFS(
O90&lt;=12,"Low",
O90&lt;=20,"Medium",
O90&lt;=30,"High",
TRUE,"Very High"
)</f>
        <v>Low</v>
      </c>
      <c r="Q90" t="str" cm="1">
        <f t="array" ref="Q90">_xlfn.IFS(
G90="Reject","EDD",
R90="Potential Match","EDD",
G90="EDD Review","EDD",
AND(S90="Yes",I90&gt;=4),"EDD",
T90="No","EDD",
TRUE,
_xlfn.XLOOKUP(
P90,
tblDueDiligence[Risk Rating],
tblDueDiligence[Due Diligence]
)
)</f>
        <v>SDD</v>
      </c>
      <c r="R90" t="str">
        <f>IFERROR(
_xlfn.XLOOKUP($A90,
tblScreening[Customer ID],
tblScreening[Sanction Match]),
"")</f>
        <v>No Match</v>
      </c>
      <c r="S90" t="str">
        <f>IFERROR(
_xlfn.XLOOKUP($A90,
tblScreening[Customer ID],
tblScreening[PEP]),
"")</f>
        <v>No</v>
      </c>
      <c r="T90" t="str">
        <f>IFERROR(
_xlfn.XLOOKUP($A90,
tblScreening[Customer ID],
tblScreening[Source of Wealth Obtained]),
"")</f>
        <v>Yes</v>
      </c>
      <c r="U90" t="str" cm="1">
        <f t="array" ref="U90">_xlfn.IFS(
G90="Reject","Screening Rejected",
R90="Potential Match","Potential Sanctions Match",
AND(S90="Yes",I90&gt;=4),"PEP in High-Risk Country",
T90="No","Missing Source of Wealth",
G90="EDD Review","EDD Review Required",
TRUE,"None"
)</f>
        <v>None</v>
      </c>
      <c r="V90" t="str" cm="1">
        <f t="array" ref="V90">_xlfn.IFS(
G90="Reject","Reject",
R90="Potential Match","Reject",
G90="EDD Review","Escalate",
AND(S90="Yes",I90&gt;=4),"Escalate",
T90="No","Escalate",
TRUE,
_xlfn.XLOOKUP(
Q90,
tblDecision[Due Diligence],
tblDecision[Decision]
)
)</f>
        <v>Approve</v>
      </c>
    </row>
    <row r="91" spans="1:22" x14ac:dyDescent="0.25">
      <c r="A91" t="s">
        <v>225</v>
      </c>
      <c r="B91" t="str">
        <f>IFERROR(_xlfn.XLOOKUP($A91,tblCustomers[Customer ID],tblCustomers[Customer Type]),"")</f>
        <v>Corporate</v>
      </c>
      <c r="C91" t="str">
        <f>IFERROR(_xlfn.XLOOKUP($A91,tblCustomers[Customer ID],tblCustomers[Country]),"")</f>
        <v>Ghana</v>
      </c>
      <c r="D91" t="str">
        <f>IFERROR(_xlfn.XLOOKUP($A91,tblCustomers[Customer ID],tblCustomers[Occupation/Industry]),"")</f>
        <v>Agriculture</v>
      </c>
      <c r="E91" t="str">
        <f>IFERROR(_xlfn.XLOOKUP($A91,tblCustomers[Customer ID],tblCustomers[Product Requested]),"")</f>
        <v>Investment</v>
      </c>
      <c r="F91" t="str">
        <f>IFERROR(_xlfn.XLOOKUP($A91,tblCustomers[Customer ID],tblCustomers[Delivery Channel]),"")</f>
        <v>Mobile App</v>
      </c>
      <c r="G91" t="str">
        <f>IFERROR(_xlfn.XLOOKUP($A91,tblScreening[Customer ID],tblScreening[Screening Result]),"")</f>
        <v>Review</v>
      </c>
      <c r="H91">
        <f>IFERROR(_xlfn.XLOOKUP(B91,tblCustomerType[Customer Type],tblCustomerType[Risk Score]),0)</f>
        <v>3</v>
      </c>
      <c r="I91">
        <f>IFERROR(_xlfn.XLOOKUP(C91,tblCountryRisk[Country],tblCountryRisk[Risk Score]),0)</f>
        <v>2</v>
      </c>
      <c r="J91">
        <f>IFERROR(_xlfn.XLOOKUP(D91,tblOccupationRisk[Occupation],tblOccupationRisk[Risk Score]),0)</f>
        <v>0</v>
      </c>
      <c r="K91">
        <f>IFERROR(_xlfn.XLOOKUP(E91,tblProductRisk[Product],tblProductRisk[Risk Score]),0)</f>
        <v>3</v>
      </c>
      <c r="L91">
        <f>IFERROR(_xlfn.XLOOKUP(F91,tblChannelRisk[Channel],tblChannelRisk[Risk Score]),0)</f>
        <v>3</v>
      </c>
      <c r="M91">
        <f>IFERROR(_xlfn.XLOOKUP(G91,tblScreeningRisk[Screening Result],tblScreeningRisk[Risk Score]),0)</f>
        <v>3</v>
      </c>
      <c r="N91">
        <f>IFERROR(
_xlfn.MAXIFS(
'[1]Transaction Monitoring'!Q:Q,
'[1]Transaction Monitoring'!B:B,
A91
),
1
)</f>
        <v>1</v>
      </c>
      <c r="O91">
        <f t="shared" si="1"/>
        <v>15</v>
      </c>
      <c r="P91" t="str" cm="1">
        <f t="array" ref="P91">_xlfn.IFS(
O91&lt;=12,"Low",
O91&lt;=20,"Medium",
O91&lt;=30,"High",
TRUE,"Very High"
)</f>
        <v>Medium</v>
      </c>
      <c r="Q91" t="str" cm="1">
        <f t="array" ref="Q91">_xlfn.IFS(
G91="Reject","EDD",
R91="Potential Match","EDD",
G91="EDD Review","EDD",
AND(S91="Yes",I91&gt;=4),"EDD",
T91="No","EDD",
TRUE,
_xlfn.XLOOKUP(
P91,
tblDueDiligence[Risk Rating],
tblDueDiligence[Due Diligence]
)
)</f>
        <v>CDD</v>
      </c>
      <c r="R91" t="str">
        <f>IFERROR(
_xlfn.XLOOKUP($A91,
tblScreening[Customer ID],
tblScreening[Sanction Match]),
"")</f>
        <v>No Match</v>
      </c>
      <c r="S91" t="str">
        <f>IFERROR(
_xlfn.XLOOKUP($A91,
tblScreening[Customer ID],
tblScreening[PEP]),
"")</f>
        <v>No</v>
      </c>
      <c r="T91" t="str">
        <f>IFERROR(
_xlfn.XLOOKUP($A91,
tblScreening[Customer ID],
tblScreening[Source of Wealth Obtained]),
"")</f>
        <v>Yes</v>
      </c>
      <c r="U91" t="str" cm="1">
        <f t="array" ref="U91">_xlfn.IFS(
G91="Reject","Screening Rejected",
R91="Potential Match","Potential Sanctions Match",
AND(S91="Yes",I91&gt;=4),"PEP in High-Risk Country",
T91="No","Missing Source of Wealth",
G91="EDD Review","EDD Review Required",
TRUE,"None"
)</f>
        <v>None</v>
      </c>
      <c r="V91" t="str" cm="1">
        <f t="array" ref="V91">_xlfn.IFS(
G91="Reject","Reject",
R91="Potential Match","Reject",
G91="EDD Review","Escalate",
AND(S91="Yes",I91&gt;=4),"Escalate",
T91="No","Escalate",
TRUE,
_xlfn.XLOOKUP(
Q91,
tblDecision[Due Diligence],
tblDecision[Decision]
)
)</f>
        <v>Approve</v>
      </c>
    </row>
    <row r="92" spans="1:22" x14ac:dyDescent="0.25">
      <c r="A92" t="s">
        <v>227</v>
      </c>
      <c r="B92" t="str">
        <f>IFERROR(_xlfn.XLOOKUP($A92,tblCustomers[Customer ID],tblCustomers[Customer Type]),"")</f>
        <v>NGO</v>
      </c>
      <c r="C92" t="str">
        <f>IFERROR(_xlfn.XLOOKUP($A92,tblCustomers[Customer ID],tblCustomers[Country]),"")</f>
        <v>Kenya</v>
      </c>
      <c r="D92" t="str">
        <f>IFERROR(_xlfn.XLOOKUP($A92,tblCustomers[Customer ID],tblCustomers[Occupation/Industry]),"")</f>
        <v>Non-Profit</v>
      </c>
      <c r="E92" t="str">
        <f>IFERROR(_xlfn.XLOOKUP($A92,tblCustomers[Customer ID],tblCustomers[Product Requested]),"")</f>
        <v>Trade Finance</v>
      </c>
      <c r="F92" t="str">
        <f>IFERROR(_xlfn.XLOOKUP($A92,tblCustomers[Customer ID],tblCustomers[Delivery Channel]),"")</f>
        <v>Mobile App</v>
      </c>
      <c r="G92" t="str">
        <f>IFERROR(_xlfn.XLOOKUP($A92,tblScreening[Customer ID],tblScreening[Screening Result]),"")</f>
        <v>Review</v>
      </c>
      <c r="H92">
        <f>IFERROR(_xlfn.XLOOKUP(B92,tblCustomerType[Customer Type],tblCustomerType[Risk Score]),0)</f>
        <v>4</v>
      </c>
      <c r="I92">
        <f>IFERROR(_xlfn.XLOOKUP(C92,tblCountryRisk[Country],tblCountryRisk[Risk Score]),0)</f>
        <v>2</v>
      </c>
      <c r="J92">
        <f>IFERROR(_xlfn.XLOOKUP(D92,tblOccupationRisk[Occupation],tblOccupationRisk[Risk Score]),0)</f>
        <v>0</v>
      </c>
      <c r="K92">
        <f>IFERROR(_xlfn.XLOOKUP(E92,tblProductRisk[Product],tblProductRisk[Risk Score]),0)</f>
        <v>4</v>
      </c>
      <c r="L92">
        <f>IFERROR(_xlfn.XLOOKUP(F92,tblChannelRisk[Channel],tblChannelRisk[Risk Score]),0)</f>
        <v>3</v>
      </c>
      <c r="M92">
        <f>IFERROR(_xlfn.XLOOKUP(G92,tblScreeningRisk[Screening Result],tblScreeningRisk[Risk Score]),0)</f>
        <v>3</v>
      </c>
      <c r="N92">
        <f>IFERROR(
_xlfn.MAXIFS(
'[1]Transaction Monitoring'!Q:Q,
'[1]Transaction Monitoring'!B:B,
A92
),
1
)</f>
        <v>1</v>
      </c>
      <c r="O92">
        <f t="shared" si="1"/>
        <v>17</v>
      </c>
      <c r="P92" t="str" cm="1">
        <f t="array" ref="P92">_xlfn.IFS(
O92&lt;=12,"Low",
O92&lt;=20,"Medium",
O92&lt;=30,"High",
TRUE,"Very High"
)</f>
        <v>Medium</v>
      </c>
      <c r="Q92" t="str" cm="1">
        <f t="array" ref="Q92">_xlfn.IFS(
G92="Reject","EDD",
R92="Potential Match","EDD",
G92="EDD Review","EDD",
AND(S92="Yes",I92&gt;=4),"EDD",
T92="No","EDD",
TRUE,
_xlfn.XLOOKUP(
P92,
tblDueDiligence[Risk Rating],
tblDueDiligence[Due Diligence]
)
)</f>
        <v>CDD</v>
      </c>
      <c r="R92" t="str">
        <f>IFERROR(
_xlfn.XLOOKUP($A92,
tblScreening[Customer ID],
tblScreening[Sanction Match]),
"")</f>
        <v>No Match</v>
      </c>
      <c r="S92" t="str">
        <f>IFERROR(
_xlfn.XLOOKUP($A92,
tblScreening[Customer ID],
tblScreening[PEP]),
"")</f>
        <v>No</v>
      </c>
      <c r="T92" t="str">
        <f>IFERROR(
_xlfn.XLOOKUP($A92,
tblScreening[Customer ID],
tblScreening[Source of Wealth Obtained]),
"")</f>
        <v>Yes</v>
      </c>
      <c r="U92" t="str" cm="1">
        <f t="array" ref="U92">_xlfn.IFS(
G92="Reject","Screening Rejected",
R92="Potential Match","Potential Sanctions Match",
AND(S92="Yes",I92&gt;=4),"PEP in High-Risk Country",
T92="No","Missing Source of Wealth",
G92="EDD Review","EDD Review Required",
TRUE,"None"
)</f>
        <v>None</v>
      </c>
      <c r="V92" t="str" cm="1">
        <f t="array" ref="V92">_xlfn.IFS(
G92="Reject","Reject",
R92="Potential Match","Reject",
G92="EDD Review","Escalate",
AND(S92="Yes",I92&gt;=4),"Escalate",
T92="No","Escalate",
TRUE,
_xlfn.XLOOKUP(
Q92,
tblDecision[Due Diligence],
tblDecision[Decision]
)
)</f>
        <v>Approve</v>
      </c>
    </row>
    <row r="93" spans="1:22" x14ac:dyDescent="0.25">
      <c r="A93" t="s">
        <v>231</v>
      </c>
      <c r="B93" t="str">
        <f>IFERROR(_xlfn.XLOOKUP($A93,tblCustomers[Customer ID],tblCustomers[Customer Type]),"")</f>
        <v>NGO</v>
      </c>
      <c r="C93" t="str">
        <f>IFERROR(_xlfn.XLOOKUP($A93,tblCustomers[Customer ID],tblCustomers[Country]),"")</f>
        <v>Kenya</v>
      </c>
      <c r="D93" t="str">
        <f>IFERROR(_xlfn.XLOOKUP($A93,tblCustomers[Customer ID],tblCustomers[Occupation/Industry]),"")</f>
        <v>Non-Profit</v>
      </c>
      <c r="E93" t="str">
        <f>IFERROR(_xlfn.XLOOKUP($A93,tblCustomers[Customer ID],tblCustomers[Product Requested]),"")</f>
        <v>Trade Finance</v>
      </c>
      <c r="F93" t="str">
        <f>IFERROR(_xlfn.XLOOKUP($A93,tblCustomers[Customer ID],tblCustomers[Delivery Channel]),"")</f>
        <v>Online</v>
      </c>
      <c r="G93" t="str">
        <f>IFERROR(_xlfn.XLOOKUP($A93,tblScreening[Customer ID],tblScreening[Screening Result]),"")</f>
        <v>Review</v>
      </c>
      <c r="H93">
        <f>IFERROR(_xlfn.XLOOKUP(B93,tblCustomerType[Customer Type],tblCustomerType[Risk Score]),0)</f>
        <v>4</v>
      </c>
      <c r="I93">
        <f>IFERROR(_xlfn.XLOOKUP(C93,tblCountryRisk[Country],tblCountryRisk[Risk Score]),0)</f>
        <v>2</v>
      </c>
      <c r="J93">
        <f>IFERROR(_xlfn.XLOOKUP(D93,tblOccupationRisk[Occupation],tblOccupationRisk[Risk Score]),0)</f>
        <v>0</v>
      </c>
      <c r="K93">
        <f>IFERROR(_xlfn.XLOOKUP(E93,tblProductRisk[Product],tblProductRisk[Risk Score]),0)</f>
        <v>4</v>
      </c>
      <c r="L93">
        <f>IFERROR(_xlfn.XLOOKUP(F93,tblChannelRisk[Channel],tblChannelRisk[Risk Score]),0)</f>
        <v>3</v>
      </c>
      <c r="M93">
        <f>IFERROR(_xlfn.XLOOKUP(G93,tblScreeningRisk[Screening Result],tblScreeningRisk[Risk Score]),0)</f>
        <v>3</v>
      </c>
      <c r="N93">
        <f>IFERROR(
_xlfn.MAXIFS(
'[1]Transaction Monitoring'!Q:Q,
'[1]Transaction Monitoring'!B:B,
A93
),
1
)</f>
        <v>1</v>
      </c>
      <c r="O93">
        <f t="shared" si="1"/>
        <v>17</v>
      </c>
      <c r="P93" t="str" cm="1">
        <f t="array" ref="P93">_xlfn.IFS(
O93&lt;=12,"Low",
O93&lt;=20,"Medium",
O93&lt;=30,"High",
TRUE,"Very High"
)</f>
        <v>Medium</v>
      </c>
      <c r="Q93" t="str" cm="1">
        <f t="array" ref="Q93">_xlfn.IFS(
G93="Reject","EDD",
R93="Potential Match","EDD",
G93="EDD Review","EDD",
AND(S93="Yes",I93&gt;=4),"EDD",
T93="No","EDD",
TRUE,
_xlfn.XLOOKUP(
P93,
tblDueDiligence[Risk Rating],
tblDueDiligence[Due Diligence]
)
)</f>
        <v>CDD</v>
      </c>
      <c r="R93" t="str">
        <f>IFERROR(
_xlfn.XLOOKUP($A93,
tblScreening[Customer ID],
tblScreening[Sanction Match]),
"")</f>
        <v>No Match</v>
      </c>
      <c r="S93" t="str">
        <f>IFERROR(
_xlfn.XLOOKUP($A93,
tblScreening[Customer ID],
tblScreening[PEP]),
"")</f>
        <v>Yes</v>
      </c>
      <c r="T93" t="str">
        <f>IFERROR(
_xlfn.XLOOKUP($A93,
tblScreening[Customer ID],
tblScreening[Source of Wealth Obtained]),
"")</f>
        <v>Yes</v>
      </c>
      <c r="U93" t="str" cm="1">
        <f t="array" ref="U93">_xlfn.IFS(
G93="Reject","Screening Rejected",
R93="Potential Match","Potential Sanctions Match",
AND(S93="Yes",I93&gt;=4),"PEP in High-Risk Country",
T93="No","Missing Source of Wealth",
G93="EDD Review","EDD Review Required",
TRUE,"None"
)</f>
        <v>None</v>
      </c>
      <c r="V93" t="str" cm="1">
        <f t="array" ref="V93">_xlfn.IFS(
G93="Reject","Reject",
R93="Potential Match","Reject",
G93="EDD Review","Escalate",
AND(S93="Yes",I93&gt;=4),"Escalate",
T93="No","Escalate",
TRUE,
_xlfn.XLOOKUP(
Q93,
tblDecision[Due Diligence],
tblDecision[Decision]
)
)</f>
        <v>Approve</v>
      </c>
    </row>
    <row r="94" spans="1:22" x14ac:dyDescent="0.25">
      <c r="A94" t="s">
        <v>233</v>
      </c>
      <c r="B94" t="str">
        <f>IFERROR(_xlfn.XLOOKUP($A94,tblCustomers[Customer ID],tblCustomers[Customer Type]),"")</f>
        <v>NGO</v>
      </c>
      <c r="C94" t="str">
        <f>IFERROR(_xlfn.XLOOKUP($A94,tblCustomers[Customer ID],tblCustomers[Country]),"")</f>
        <v>South Africa</v>
      </c>
      <c r="D94" t="str">
        <f>IFERROR(_xlfn.XLOOKUP($A94,tblCustomers[Customer ID],tblCustomers[Occupation/Industry]),"")</f>
        <v>Non-Profit</v>
      </c>
      <c r="E94" t="str">
        <f>IFERROR(_xlfn.XLOOKUP($A94,tblCustomers[Customer ID],tblCustomers[Product Requested]),"")</f>
        <v>Trade Finance</v>
      </c>
      <c r="F94" t="str">
        <f>IFERROR(_xlfn.XLOOKUP($A94,tblCustomers[Customer ID],tblCustomers[Delivery Channel]),"")</f>
        <v>Online</v>
      </c>
      <c r="G94" t="str">
        <f>IFERROR(_xlfn.XLOOKUP($A94,tblScreening[Customer ID],tblScreening[Screening Result]),"")</f>
        <v>EDD Review</v>
      </c>
      <c r="H94">
        <f>IFERROR(_xlfn.XLOOKUP(B94,tblCustomerType[Customer Type],tblCustomerType[Risk Score]),0)</f>
        <v>4</v>
      </c>
      <c r="I94">
        <f>IFERROR(_xlfn.XLOOKUP(C94,tblCountryRisk[Country],tblCountryRisk[Risk Score]),0)</f>
        <v>2</v>
      </c>
      <c r="J94">
        <f>IFERROR(_xlfn.XLOOKUP(D94,tblOccupationRisk[Occupation],tblOccupationRisk[Risk Score]),0)</f>
        <v>0</v>
      </c>
      <c r="K94">
        <f>IFERROR(_xlfn.XLOOKUP(E94,tblProductRisk[Product],tblProductRisk[Risk Score]),0)</f>
        <v>4</v>
      </c>
      <c r="L94">
        <f>IFERROR(_xlfn.XLOOKUP(F94,tblChannelRisk[Channel],tblChannelRisk[Risk Score]),0)</f>
        <v>3</v>
      </c>
      <c r="M94">
        <f>IFERROR(_xlfn.XLOOKUP(G94,tblScreeningRisk[Screening Result],tblScreeningRisk[Risk Score]),0)</f>
        <v>5</v>
      </c>
      <c r="N94">
        <f>IFERROR(
_xlfn.MAXIFS(
'[1]Transaction Monitoring'!Q:Q,
'[1]Transaction Monitoring'!B:B,
A94
),
1
)</f>
        <v>1</v>
      </c>
      <c r="O94">
        <f t="shared" si="1"/>
        <v>19</v>
      </c>
      <c r="P94" t="str" cm="1">
        <f t="array" ref="P94">_xlfn.IFS(
O94&lt;=12,"Low",
O94&lt;=20,"Medium",
O94&lt;=30,"High",
TRUE,"Very High"
)</f>
        <v>Medium</v>
      </c>
      <c r="Q94" t="str" cm="1">
        <f t="array" ref="Q94">_xlfn.IFS(
G94="Reject","EDD",
R94="Potential Match","EDD",
G94="EDD Review","EDD",
AND(S94="Yes",I94&gt;=4),"EDD",
T94="No","EDD",
TRUE,
_xlfn.XLOOKUP(
P94,
tblDueDiligence[Risk Rating],
tblDueDiligence[Due Diligence]
)
)</f>
        <v>EDD</v>
      </c>
      <c r="R94" t="str">
        <f>IFERROR(
_xlfn.XLOOKUP($A94,
tblScreening[Customer ID],
tblScreening[Sanction Match]),
"")</f>
        <v>No Match</v>
      </c>
      <c r="S94" t="str">
        <f>IFERROR(
_xlfn.XLOOKUP($A94,
tblScreening[Customer ID],
tblScreening[PEP]),
"")</f>
        <v>Yes</v>
      </c>
      <c r="T94" t="str">
        <f>IFERROR(
_xlfn.XLOOKUP($A94,
tblScreening[Customer ID],
tblScreening[Source of Wealth Obtained]),
"")</f>
        <v>Yes</v>
      </c>
      <c r="U94" t="str" cm="1">
        <f t="array" ref="U94">_xlfn.IFS(
G94="Reject","Screening Rejected",
R94="Potential Match","Potential Sanctions Match",
AND(S94="Yes",I94&gt;=4),"PEP in High-Risk Country",
T94="No","Missing Source of Wealth",
G94="EDD Review","EDD Review Required",
TRUE,"None"
)</f>
        <v>EDD Review Required</v>
      </c>
      <c r="V94" t="str" cm="1">
        <f t="array" ref="V94">_xlfn.IFS(
G94="Reject","Reject",
R94="Potential Match","Reject",
G94="EDD Review","Escalate",
AND(S94="Yes",I94&gt;=4),"Escalate",
T94="No","Escalate",
TRUE,
_xlfn.XLOOKUP(
Q94,
tblDecision[Due Diligence],
tblDecision[Decision]
)
)</f>
        <v>Escalate</v>
      </c>
    </row>
    <row r="95" spans="1:22" x14ac:dyDescent="0.25">
      <c r="A95" t="s">
        <v>235</v>
      </c>
      <c r="B95" t="str">
        <f>IFERROR(_xlfn.XLOOKUP($A95,tblCustomers[Customer ID],tblCustomers[Customer Type]),"")</f>
        <v>NGO</v>
      </c>
      <c r="C95" t="str">
        <f>IFERROR(_xlfn.XLOOKUP($A95,tblCustomers[Customer ID],tblCustomers[Country]),"")</f>
        <v>Ghana</v>
      </c>
      <c r="D95" t="str">
        <f>IFERROR(_xlfn.XLOOKUP($A95,tblCustomers[Customer ID],tblCustomers[Occupation/Industry]),"")</f>
        <v>Non-Profit</v>
      </c>
      <c r="E95" t="str">
        <f>IFERROR(_xlfn.XLOOKUP($A95,tblCustomers[Customer ID],tblCustomers[Product Requested]),"")</f>
        <v>Fixed Deposit</v>
      </c>
      <c r="F95" t="str">
        <f>IFERROR(_xlfn.XLOOKUP($A95,tblCustomers[Customer ID],tblCustomers[Delivery Channel]),"")</f>
        <v>Relationship Manager</v>
      </c>
      <c r="G95" t="str">
        <f>IFERROR(_xlfn.XLOOKUP($A95,tblScreening[Customer ID],tblScreening[Screening Result]),"")</f>
        <v>Clear</v>
      </c>
      <c r="H95">
        <f>IFERROR(_xlfn.XLOOKUP(B95,tblCustomerType[Customer Type],tblCustomerType[Risk Score]),0)</f>
        <v>4</v>
      </c>
      <c r="I95">
        <f>IFERROR(_xlfn.XLOOKUP(C95,tblCountryRisk[Country],tblCountryRisk[Risk Score]),0)</f>
        <v>2</v>
      </c>
      <c r="J95">
        <f>IFERROR(_xlfn.XLOOKUP(D95,tblOccupationRisk[Occupation],tblOccupationRisk[Risk Score]),0)</f>
        <v>0</v>
      </c>
      <c r="K95">
        <f>IFERROR(_xlfn.XLOOKUP(E95,tblProductRisk[Product],tblProductRisk[Risk Score]),0)</f>
        <v>2</v>
      </c>
      <c r="L95">
        <f>IFERROR(_xlfn.XLOOKUP(F95,tblChannelRisk[Channel],tblChannelRisk[Risk Score]),0)</f>
        <v>2</v>
      </c>
      <c r="M95">
        <f>IFERROR(_xlfn.XLOOKUP(G95,tblScreeningRisk[Screening Result],tblScreeningRisk[Risk Score]),0)</f>
        <v>1</v>
      </c>
      <c r="N95">
        <f>IFERROR(
_xlfn.MAXIFS(
'[1]Transaction Monitoring'!Q:Q,
'[1]Transaction Monitoring'!B:B,
A95
),
1
)</f>
        <v>1</v>
      </c>
      <c r="O95">
        <f t="shared" si="1"/>
        <v>12</v>
      </c>
      <c r="P95" t="str" cm="1">
        <f t="array" ref="P95">_xlfn.IFS(
O95&lt;=12,"Low",
O95&lt;=20,"Medium",
O95&lt;=30,"High",
TRUE,"Very High"
)</f>
        <v>Low</v>
      </c>
      <c r="Q95" t="str" cm="1">
        <f t="array" ref="Q95">_xlfn.IFS(
G95="Reject","EDD",
R95="Potential Match","EDD",
G95="EDD Review","EDD",
AND(S95="Yes",I95&gt;=4),"EDD",
T95="No","EDD",
TRUE,
_xlfn.XLOOKUP(
P95,
tblDueDiligence[Risk Rating],
tblDueDiligence[Due Diligence]
)
)</f>
        <v>SDD</v>
      </c>
      <c r="R95" t="str">
        <f>IFERROR(
_xlfn.XLOOKUP($A95,
tblScreening[Customer ID],
tblScreening[Sanction Match]),
"")</f>
        <v>No Match</v>
      </c>
      <c r="S95" t="str">
        <f>IFERROR(
_xlfn.XLOOKUP($A95,
tblScreening[Customer ID],
tblScreening[PEP]),
"")</f>
        <v>No</v>
      </c>
      <c r="T95" t="str">
        <f>IFERROR(
_xlfn.XLOOKUP($A95,
tblScreening[Customer ID],
tblScreening[Source of Wealth Obtained]),
"")</f>
        <v>Yes</v>
      </c>
      <c r="U95" t="str" cm="1">
        <f t="array" ref="U95">_xlfn.IFS(
G95="Reject","Screening Rejected",
R95="Potential Match","Potential Sanctions Match",
AND(S95="Yes",I95&gt;=4),"PEP in High-Risk Country",
T95="No","Missing Source of Wealth",
G95="EDD Review","EDD Review Required",
TRUE,"None"
)</f>
        <v>None</v>
      </c>
      <c r="V95" t="str" cm="1">
        <f t="array" ref="V95">_xlfn.IFS(
G95="Reject","Reject",
R95="Potential Match","Reject",
G95="EDD Review","Escalate",
AND(S95="Yes",I95&gt;=4),"Escalate",
T95="No","Escalate",
TRUE,
_xlfn.XLOOKUP(
Q95,
tblDecision[Due Diligence],
tblDecision[Decision]
)
)</f>
        <v>Approve</v>
      </c>
    </row>
    <row r="96" spans="1:22" x14ac:dyDescent="0.25">
      <c r="A96" t="s">
        <v>236</v>
      </c>
      <c r="B96" t="str">
        <f>IFERROR(_xlfn.XLOOKUP($A96,tblCustomers[Customer ID],tblCustomers[Customer Type]),"")</f>
        <v>NGO</v>
      </c>
      <c r="C96" t="str">
        <f>IFERROR(_xlfn.XLOOKUP($A96,tblCustomers[Customer ID],tblCustomers[Country]),"")</f>
        <v>UAE</v>
      </c>
      <c r="D96" t="str">
        <f>IFERROR(_xlfn.XLOOKUP($A96,tblCustomers[Customer ID],tblCustomers[Occupation/Industry]),"")</f>
        <v>Non-Profit</v>
      </c>
      <c r="E96" t="str">
        <f>IFERROR(_xlfn.XLOOKUP($A96,tblCustomers[Customer ID],tblCustomers[Product Requested]),"")</f>
        <v>Fixed Deposit</v>
      </c>
      <c r="F96" t="str">
        <f>IFERROR(_xlfn.XLOOKUP($A96,tblCustomers[Customer ID],tblCustomers[Delivery Channel]),"")</f>
        <v>Online</v>
      </c>
      <c r="G96" t="str">
        <f>IFERROR(_xlfn.XLOOKUP($A96,tblScreening[Customer ID],tblScreening[Screening Result]),"")</f>
        <v>Clear</v>
      </c>
      <c r="H96">
        <f>IFERROR(_xlfn.XLOOKUP(B96,tblCustomerType[Customer Type],tblCustomerType[Risk Score]),0)</f>
        <v>4</v>
      </c>
      <c r="I96">
        <f>IFERROR(_xlfn.XLOOKUP(C96,tblCountryRisk[Country],tblCountryRisk[Risk Score]),0)</f>
        <v>3</v>
      </c>
      <c r="J96">
        <f>IFERROR(_xlfn.XLOOKUP(D96,tblOccupationRisk[Occupation],tblOccupationRisk[Risk Score]),0)</f>
        <v>0</v>
      </c>
      <c r="K96">
        <f>IFERROR(_xlfn.XLOOKUP(E96,tblProductRisk[Product],tblProductRisk[Risk Score]),0)</f>
        <v>2</v>
      </c>
      <c r="L96">
        <f>IFERROR(_xlfn.XLOOKUP(F96,tblChannelRisk[Channel],tblChannelRisk[Risk Score]),0)</f>
        <v>3</v>
      </c>
      <c r="M96">
        <f>IFERROR(_xlfn.XLOOKUP(G96,tblScreeningRisk[Screening Result],tblScreeningRisk[Risk Score]),0)</f>
        <v>1</v>
      </c>
      <c r="N96">
        <f>IFERROR(
_xlfn.MAXIFS(
'[1]Transaction Monitoring'!Q:Q,
'[1]Transaction Monitoring'!B:B,
A96
),
1
)</f>
        <v>1</v>
      </c>
      <c r="O96">
        <f t="shared" si="1"/>
        <v>14</v>
      </c>
      <c r="P96" t="str" cm="1">
        <f t="array" ref="P96">_xlfn.IFS(
O96&lt;=12,"Low",
O96&lt;=20,"Medium",
O96&lt;=30,"High",
TRUE,"Very High"
)</f>
        <v>Medium</v>
      </c>
      <c r="Q96" t="str" cm="1">
        <f t="array" ref="Q96">_xlfn.IFS(
G96="Reject","EDD",
R96="Potential Match","EDD",
G96="EDD Review","EDD",
AND(S96="Yes",I96&gt;=4),"EDD",
T96="No","EDD",
TRUE,
_xlfn.XLOOKUP(
P96,
tblDueDiligence[Risk Rating],
tblDueDiligence[Due Diligence]
)
)</f>
        <v>CDD</v>
      </c>
      <c r="R96" t="str">
        <f>IFERROR(
_xlfn.XLOOKUP($A96,
tblScreening[Customer ID],
tblScreening[Sanction Match]),
"")</f>
        <v>No Match</v>
      </c>
      <c r="S96" t="str">
        <f>IFERROR(
_xlfn.XLOOKUP($A96,
tblScreening[Customer ID],
tblScreening[PEP]),
"")</f>
        <v>No</v>
      </c>
      <c r="T96" t="str">
        <f>IFERROR(
_xlfn.XLOOKUP($A96,
tblScreening[Customer ID],
tblScreening[Source of Wealth Obtained]),
"")</f>
        <v>Yes</v>
      </c>
      <c r="U96" t="str" cm="1">
        <f t="array" ref="U96">_xlfn.IFS(
G96="Reject","Screening Rejected",
R96="Potential Match","Potential Sanctions Match",
AND(S96="Yes",I96&gt;=4),"PEP in High-Risk Country",
T96="No","Missing Source of Wealth",
G96="EDD Review","EDD Review Required",
TRUE,"None"
)</f>
        <v>None</v>
      </c>
      <c r="V96" t="str" cm="1">
        <f t="array" ref="V96">_xlfn.IFS(
G96="Reject","Reject",
R96="Potential Match","Reject",
G96="EDD Review","Escalate",
AND(S96="Yes",I96&gt;=4),"Escalate",
T96="No","Escalate",
TRUE,
_xlfn.XLOOKUP(
Q96,
tblDecision[Due Diligence],
tblDecision[Decision]
)
)</f>
        <v>Approve</v>
      </c>
    </row>
    <row r="97" spans="1:22" x14ac:dyDescent="0.25">
      <c r="A97" t="s">
        <v>238</v>
      </c>
      <c r="B97" t="str">
        <f>IFERROR(_xlfn.XLOOKUP($A97,tblCustomers[Customer ID],tblCustomers[Customer Type]),"")</f>
        <v>NGO</v>
      </c>
      <c r="C97" t="str">
        <f>IFERROR(_xlfn.XLOOKUP($A97,tblCustomers[Customer ID],tblCustomers[Country]),"")</f>
        <v>Ghana</v>
      </c>
      <c r="D97" t="str">
        <f>IFERROR(_xlfn.XLOOKUP($A97,tblCustomers[Customer ID],tblCustomers[Occupation/Industry]),"")</f>
        <v>Non-Profit</v>
      </c>
      <c r="E97" t="str">
        <f>IFERROR(_xlfn.XLOOKUP($A97,tblCustomers[Customer ID],tblCustomers[Product Requested]),"")</f>
        <v>Corporate Account</v>
      </c>
      <c r="F97" t="str">
        <f>IFERROR(_xlfn.XLOOKUP($A97,tblCustomers[Customer ID],tblCustomers[Delivery Channel]),"")</f>
        <v>Mobile App</v>
      </c>
      <c r="G97" t="str">
        <f>IFERROR(_xlfn.XLOOKUP($A97,tblScreening[Customer ID],tblScreening[Screening Result]),"")</f>
        <v>Clear</v>
      </c>
      <c r="H97">
        <f>IFERROR(_xlfn.XLOOKUP(B97,tblCustomerType[Customer Type],tblCustomerType[Risk Score]),0)</f>
        <v>4</v>
      </c>
      <c r="I97">
        <f>IFERROR(_xlfn.XLOOKUP(C97,tblCountryRisk[Country],tblCountryRisk[Risk Score]),0)</f>
        <v>2</v>
      </c>
      <c r="J97">
        <f>IFERROR(_xlfn.XLOOKUP(D97,tblOccupationRisk[Occupation],tblOccupationRisk[Risk Score]),0)</f>
        <v>0</v>
      </c>
      <c r="K97">
        <f>IFERROR(_xlfn.XLOOKUP(E97,tblProductRisk[Product],tblProductRisk[Risk Score]),0)</f>
        <v>3</v>
      </c>
      <c r="L97">
        <f>IFERROR(_xlfn.XLOOKUP(F97,tblChannelRisk[Channel],tblChannelRisk[Risk Score]),0)</f>
        <v>3</v>
      </c>
      <c r="M97">
        <f>IFERROR(_xlfn.XLOOKUP(G97,tblScreeningRisk[Screening Result],tblScreeningRisk[Risk Score]),0)</f>
        <v>1</v>
      </c>
      <c r="N97">
        <f>IFERROR(
_xlfn.MAXIFS(
'[1]Transaction Monitoring'!Q:Q,
'[1]Transaction Monitoring'!B:B,
A97
),
1
)</f>
        <v>1</v>
      </c>
      <c r="O97">
        <f t="shared" si="1"/>
        <v>14</v>
      </c>
      <c r="P97" t="str" cm="1">
        <f t="array" ref="P97">_xlfn.IFS(
O97&lt;=12,"Low",
O97&lt;=20,"Medium",
O97&lt;=30,"High",
TRUE,"Very High"
)</f>
        <v>Medium</v>
      </c>
      <c r="Q97" t="str" cm="1">
        <f t="array" ref="Q97">_xlfn.IFS(
G97="Reject","EDD",
R97="Potential Match","EDD",
G97="EDD Review","EDD",
AND(S97="Yes",I97&gt;=4),"EDD",
T97="No","EDD",
TRUE,
_xlfn.XLOOKUP(
P97,
tblDueDiligence[Risk Rating],
tblDueDiligence[Due Diligence]
)
)</f>
        <v>CDD</v>
      </c>
      <c r="R97" t="str">
        <f>IFERROR(
_xlfn.XLOOKUP($A97,
tblScreening[Customer ID],
tblScreening[Sanction Match]),
"")</f>
        <v>No Match</v>
      </c>
      <c r="S97" t="str">
        <f>IFERROR(
_xlfn.XLOOKUP($A97,
tblScreening[Customer ID],
tblScreening[PEP]),
"")</f>
        <v>No</v>
      </c>
      <c r="T97" t="str">
        <f>IFERROR(
_xlfn.XLOOKUP($A97,
tblScreening[Customer ID],
tblScreening[Source of Wealth Obtained]),
"")</f>
        <v>Yes</v>
      </c>
      <c r="U97" t="str" cm="1">
        <f t="array" ref="U97">_xlfn.IFS(
G97="Reject","Screening Rejected",
R97="Potential Match","Potential Sanctions Match",
AND(S97="Yes",I97&gt;=4),"PEP in High-Risk Country",
T97="No","Missing Source of Wealth",
G97="EDD Review","EDD Review Required",
TRUE,"None"
)</f>
        <v>None</v>
      </c>
      <c r="V97" t="str" cm="1">
        <f t="array" ref="V97">_xlfn.IFS(
G97="Reject","Reject",
R97="Potential Match","Reject",
G97="EDD Review","Escalate",
AND(S97="Yes",I97&gt;=4),"Escalate",
T97="No","Escalate",
TRUE,
_xlfn.XLOOKUP(
Q97,
tblDecision[Due Diligence],
tblDecision[Decision]
)
)</f>
        <v>Approve</v>
      </c>
    </row>
    <row r="98" spans="1:22" x14ac:dyDescent="0.25">
      <c r="A98" t="s">
        <v>239</v>
      </c>
      <c r="B98" t="str">
        <f>IFERROR(_xlfn.XLOOKUP($A98,tblCustomers[Customer ID],tblCustomers[Customer Type]),"")</f>
        <v>NGO</v>
      </c>
      <c r="C98" t="str">
        <f>IFERROR(_xlfn.XLOOKUP($A98,tblCustomers[Customer ID],tblCustomers[Country]),"")</f>
        <v>UAE</v>
      </c>
      <c r="D98" t="str">
        <f>IFERROR(_xlfn.XLOOKUP($A98,tblCustomers[Customer ID],tblCustomers[Occupation/Industry]),"")</f>
        <v>Non-Profit</v>
      </c>
      <c r="E98" t="str">
        <f>IFERROR(_xlfn.XLOOKUP($A98,tblCustomers[Customer ID],tblCustomers[Product Requested]),"")</f>
        <v>Trade Finance</v>
      </c>
      <c r="F98" t="str">
        <f>IFERROR(_xlfn.XLOOKUP($A98,tblCustomers[Customer ID],tblCustomers[Delivery Channel]),"")</f>
        <v>Mobile App</v>
      </c>
      <c r="G98" t="str">
        <f>IFERROR(_xlfn.XLOOKUP($A98,tblScreening[Customer ID],tblScreening[Screening Result]),"")</f>
        <v>Reject</v>
      </c>
      <c r="H98">
        <f>IFERROR(_xlfn.XLOOKUP(B98,tblCustomerType[Customer Type],tblCustomerType[Risk Score]),0)</f>
        <v>4</v>
      </c>
      <c r="I98">
        <f>IFERROR(_xlfn.XLOOKUP(C98,tblCountryRisk[Country],tblCountryRisk[Risk Score]),0)</f>
        <v>3</v>
      </c>
      <c r="J98">
        <f>IFERROR(_xlfn.XLOOKUP(D98,tblOccupationRisk[Occupation],tblOccupationRisk[Risk Score]),0)</f>
        <v>0</v>
      </c>
      <c r="K98">
        <f>IFERROR(_xlfn.XLOOKUP(E98,tblProductRisk[Product],tblProductRisk[Risk Score]),0)</f>
        <v>4</v>
      </c>
      <c r="L98">
        <f>IFERROR(_xlfn.XLOOKUP(F98,tblChannelRisk[Channel],tblChannelRisk[Risk Score]),0)</f>
        <v>3</v>
      </c>
      <c r="M98">
        <f>IFERROR(_xlfn.XLOOKUP(G98,tblScreeningRisk[Screening Result],tblScreeningRisk[Risk Score]),0)</f>
        <v>10</v>
      </c>
      <c r="N98">
        <f>IFERROR(
_xlfn.MAXIFS(
'[1]Transaction Monitoring'!Q:Q,
'[1]Transaction Monitoring'!B:B,
A98
),
1
)</f>
        <v>1</v>
      </c>
      <c r="O98">
        <f t="shared" si="1"/>
        <v>25</v>
      </c>
      <c r="P98" t="str" cm="1">
        <f t="array" ref="P98">_xlfn.IFS(
O98&lt;=12,"Low",
O98&lt;=20,"Medium",
O98&lt;=30,"High",
TRUE,"Very High"
)</f>
        <v>High</v>
      </c>
      <c r="Q98" t="str" cm="1">
        <f t="array" ref="Q98">_xlfn.IFS(
G98="Reject","EDD",
R98="Potential Match","EDD",
G98="EDD Review","EDD",
AND(S98="Yes",I98&gt;=4),"EDD",
T98="No","EDD",
TRUE,
_xlfn.XLOOKUP(
P98,
tblDueDiligence[Risk Rating],
tblDueDiligence[Due Diligence]
)
)</f>
        <v>EDD</v>
      </c>
      <c r="R98" t="str">
        <f>IFERROR(
_xlfn.XLOOKUP($A98,
tblScreening[Customer ID],
tblScreening[Sanction Match]),
"")</f>
        <v>Potential Match</v>
      </c>
      <c r="S98" t="str">
        <f>IFERROR(
_xlfn.XLOOKUP($A98,
tblScreening[Customer ID],
tblScreening[PEP]),
"")</f>
        <v>No</v>
      </c>
      <c r="T98" t="str">
        <f>IFERROR(
_xlfn.XLOOKUP($A98,
tblScreening[Customer ID],
tblScreening[Source of Wealth Obtained]),
"")</f>
        <v>No</v>
      </c>
      <c r="U98" t="str" cm="1">
        <f t="array" ref="U98">_xlfn.IFS(
G98="Reject","Screening Rejected",
R98="Potential Match","Potential Sanctions Match",
AND(S98="Yes",I98&gt;=4),"PEP in High-Risk Country",
T98="No","Missing Source of Wealth",
G98="EDD Review","EDD Review Required",
TRUE,"None"
)</f>
        <v>Screening Rejected</v>
      </c>
      <c r="V98" t="str" cm="1">
        <f t="array" ref="V98">_xlfn.IFS(
G98="Reject","Reject",
R98="Potential Match","Reject",
G98="EDD Review","Escalate",
AND(S98="Yes",I98&gt;=4),"Escalate",
T98="No","Escalate",
TRUE,
_xlfn.XLOOKUP(
Q98,
tblDecision[Due Diligence],
tblDecision[Decision]
)
)</f>
        <v>Reject</v>
      </c>
    </row>
    <row r="99" spans="1:22" x14ac:dyDescent="0.25">
      <c r="A99" t="s">
        <v>240</v>
      </c>
      <c r="B99" t="str">
        <f>IFERROR(_xlfn.XLOOKUP($A99,tblCustomers[Customer ID],tblCustomers[Customer Type]),"")</f>
        <v>NGO</v>
      </c>
      <c r="C99" t="str">
        <f>IFERROR(_xlfn.XLOOKUP($A99,tblCustomers[Customer ID],tblCustomers[Country]),"")</f>
        <v>Kenya</v>
      </c>
      <c r="D99" t="str">
        <f>IFERROR(_xlfn.XLOOKUP($A99,tblCustomers[Customer ID],tblCustomers[Occupation/Industry]),"")</f>
        <v>Non-Profit</v>
      </c>
      <c r="E99" t="str">
        <f>IFERROR(_xlfn.XLOOKUP($A99,tblCustomers[Customer ID],tblCustomers[Product Requested]),"")</f>
        <v>Trade Finance</v>
      </c>
      <c r="F99" t="str">
        <f>IFERROR(_xlfn.XLOOKUP($A99,tblCustomers[Customer ID],tblCustomers[Delivery Channel]),"")</f>
        <v>Relationship Manager</v>
      </c>
      <c r="G99" t="str">
        <f>IFERROR(_xlfn.XLOOKUP($A99,tblScreening[Customer ID],tblScreening[Screening Result]),"")</f>
        <v>EDD Review</v>
      </c>
      <c r="H99">
        <f>IFERROR(_xlfn.XLOOKUP(B99,tblCustomerType[Customer Type],tblCustomerType[Risk Score]),0)</f>
        <v>4</v>
      </c>
      <c r="I99">
        <f>IFERROR(_xlfn.XLOOKUP(C99,tblCountryRisk[Country],tblCountryRisk[Risk Score]),0)</f>
        <v>2</v>
      </c>
      <c r="J99">
        <f>IFERROR(_xlfn.XLOOKUP(D99,tblOccupationRisk[Occupation],tblOccupationRisk[Risk Score]),0)</f>
        <v>0</v>
      </c>
      <c r="K99">
        <f>IFERROR(_xlfn.XLOOKUP(E99,tblProductRisk[Product],tblProductRisk[Risk Score]),0)</f>
        <v>4</v>
      </c>
      <c r="L99">
        <f>IFERROR(_xlfn.XLOOKUP(F99,tblChannelRisk[Channel],tblChannelRisk[Risk Score]),0)</f>
        <v>2</v>
      </c>
      <c r="M99">
        <f>IFERROR(_xlfn.XLOOKUP(G99,tblScreeningRisk[Screening Result],tblScreeningRisk[Risk Score]),0)</f>
        <v>5</v>
      </c>
      <c r="N99">
        <f>IFERROR(
_xlfn.MAXIFS(
'[1]Transaction Monitoring'!Q:Q,
'[1]Transaction Monitoring'!B:B,
A99
),
1
)</f>
        <v>1</v>
      </c>
      <c r="O99">
        <f t="shared" si="1"/>
        <v>18</v>
      </c>
      <c r="P99" t="str" cm="1">
        <f t="array" ref="P99">_xlfn.IFS(
O99&lt;=12,"Low",
O99&lt;=20,"Medium",
O99&lt;=30,"High",
TRUE,"Very High"
)</f>
        <v>Medium</v>
      </c>
      <c r="Q99" t="str" cm="1">
        <f t="array" ref="Q99">_xlfn.IFS(
G99="Reject","EDD",
R99="Potential Match","EDD",
G99="EDD Review","EDD",
AND(S99="Yes",I99&gt;=4),"EDD",
T99="No","EDD",
TRUE,
_xlfn.XLOOKUP(
P99,
tblDueDiligence[Risk Rating],
tblDueDiligence[Due Diligence]
)
)</f>
        <v>EDD</v>
      </c>
      <c r="R99" t="str">
        <f>IFERROR(
_xlfn.XLOOKUP($A99,
tblScreening[Customer ID],
tblScreening[Sanction Match]),
"")</f>
        <v>No Match</v>
      </c>
      <c r="S99" t="str">
        <f>IFERROR(
_xlfn.XLOOKUP($A99,
tblScreening[Customer ID],
tblScreening[PEP]),
"")</f>
        <v>Yes</v>
      </c>
      <c r="T99" t="str">
        <f>IFERROR(
_xlfn.XLOOKUP($A99,
tblScreening[Customer ID],
tblScreening[Source of Wealth Obtained]),
"")</f>
        <v>Yes</v>
      </c>
      <c r="U99" t="str" cm="1">
        <f t="array" ref="U99">_xlfn.IFS(
G99="Reject","Screening Rejected",
R99="Potential Match","Potential Sanctions Match",
AND(S99="Yes",I99&gt;=4),"PEP in High-Risk Country",
T99="No","Missing Source of Wealth",
G99="EDD Review","EDD Review Required",
TRUE,"None"
)</f>
        <v>EDD Review Required</v>
      </c>
      <c r="V99" t="str" cm="1">
        <f t="array" ref="V99">_xlfn.IFS(
G99="Reject","Reject",
R99="Potential Match","Reject",
G99="EDD Review","Escalate",
AND(S99="Yes",I99&gt;=4),"Escalate",
T99="No","Escalate",
TRUE,
_xlfn.XLOOKUP(
Q99,
tblDecision[Due Diligence],
tblDecision[Decision]
)
)</f>
        <v>Escalate</v>
      </c>
    </row>
    <row r="100" spans="1:22" x14ac:dyDescent="0.25">
      <c r="A100" t="s">
        <v>241</v>
      </c>
      <c r="B100" t="str">
        <f>IFERROR(_xlfn.XLOOKUP($A100,tblCustomers[Customer ID],tblCustomers[Customer Type]),"")</f>
        <v>NGO</v>
      </c>
      <c r="C100" t="str">
        <f>IFERROR(_xlfn.XLOOKUP($A100,tblCustomers[Customer ID],tblCustomers[Country]),"")</f>
        <v>Canada</v>
      </c>
      <c r="D100" t="str">
        <f>IFERROR(_xlfn.XLOOKUP($A100,tblCustomers[Customer ID],tblCustomers[Occupation/Industry]),"")</f>
        <v>Non-Profit</v>
      </c>
      <c r="E100" t="str">
        <f>IFERROR(_xlfn.XLOOKUP($A100,tblCustomers[Customer ID],tblCustomers[Product Requested]),"")</f>
        <v>Trade Finance</v>
      </c>
      <c r="F100" t="str">
        <f>IFERROR(_xlfn.XLOOKUP($A100,tblCustomers[Customer ID],tblCustomers[Delivery Channel]),"")</f>
        <v>Branch</v>
      </c>
      <c r="G100" t="str">
        <f>IFERROR(_xlfn.XLOOKUP($A100,tblScreening[Customer ID],tblScreening[Screening Result]),"")</f>
        <v>Clear</v>
      </c>
      <c r="H100">
        <f>IFERROR(_xlfn.XLOOKUP(B100,tblCustomerType[Customer Type],tblCustomerType[Risk Score]),0)</f>
        <v>4</v>
      </c>
      <c r="I100">
        <f>IFERROR(_xlfn.XLOOKUP(C100,tblCountryRisk[Country],tblCountryRisk[Risk Score]),0)</f>
        <v>1</v>
      </c>
      <c r="J100">
        <f>IFERROR(_xlfn.XLOOKUP(D100,tblOccupationRisk[Occupation],tblOccupationRisk[Risk Score]),0)</f>
        <v>0</v>
      </c>
      <c r="K100">
        <f>IFERROR(_xlfn.XLOOKUP(E100,tblProductRisk[Product],tblProductRisk[Risk Score]),0)</f>
        <v>4</v>
      </c>
      <c r="L100">
        <f>IFERROR(_xlfn.XLOOKUP(F100,tblChannelRisk[Channel],tblChannelRisk[Risk Score]),0)</f>
        <v>1</v>
      </c>
      <c r="M100">
        <f>IFERROR(_xlfn.XLOOKUP(G100,tblScreeningRisk[Screening Result],tblScreeningRisk[Risk Score]),0)</f>
        <v>1</v>
      </c>
      <c r="N100">
        <f>IFERROR(
_xlfn.MAXIFS(
'[1]Transaction Monitoring'!Q:Q,
'[1]Transaction Monitoring'!B:B,
A100
),
1
)</f>
        <v>1</v>
      </c>
      <c r="O100">
        <f t="shared" si="1"/>
        <v>12</v>
      </c>
      <c r="P100" t="str" cm="1">
        <f t="array" ref="P100">_xlfn.IFS(
O100&lt;=12,"Low",
O100&lt;=20,"Medium",
O100&lt;=30,"High",
TRUE,"Very High"
)</f>
        <v>Low</v>
      </c>
      <c r="Q100" t="str" cm="1">
        <f t="array" ref="Q100">_xlfn.IFS(
G100="Reject","EDD",
R100="Potential Match","EDD",
G100="EDD Review","EDD",
AND(S100="Yes",I100&gt;=4),"EDD",
T100="No","EDD",
TRUE,
_xlfn.XLOOKUP(
P100,
tblDueDiligence[Risk Rating],
tblDueDiligence[Due Diligence]
)
)</f>
        <v>SDD</v>
      </c>
      <c r="R100" t="str">
        <f>IFERROR(
_xlfn.XLOOKUP($A100,
tblScreening[Customer ID],
tblScreening[Sanction Match]),
"")</f>
        <v>No Match</v>
      </c>
      <c r="S100" t="str">
        <f>IFERROR(
_xlfn.XLOOKUP($A100,
tblScreening[Customer ID],
tblScreening[PEP]),
"")</f>
        <v>No</v>
      </c>
      <c r="T100" t="str">
        <f>IFERROR(
_xlfn.XLOOKUP($A100,
tblScreening[Customer ID],
tblScreening[Source of Wealth Obtained]),
"")</f>
        <v>Yes</v>
      </c>
      <c r="U100" t="str" cm="1">
        <f t="array" ref="U100">_xlfn.IFS(
G100="Reject","Screening Rejected",
R100="Potential Match","Potential Sanctions Match",
AND(S100="Yes",I100&gt;=4),"PEP in High-Risk Country",
T100="No","Missing Source of Wealth",
G100="EDD Review","EDD Review Required",
TRUE,"None"
)</f>
        <v>None</v>
      </c>
      <c r="V100" t="str" cm="1">
        <f t="array" ref="V100">_xlfn.IFS(
G100="Reject","Reject",
R100="Potential Match","Reject",
G100="EDD Review","Escalate",
AND(S100="Yes",I100&gt;=4),"Escalate",
T100="No","Escalate",
TRUE,
_xlfn.XLOOKUP(
Q100,
tblDecision[Due Diligence],
tblDecision[Decision]
)
)</f>
        <v>Approve</v>
      </c>
    </row>
    <row r="101" spans="1:22" x14ac:dyDescent="0.25">
      <c r="A101" t="s">
        <v>242</v>
      </c>
      <c r="B101" t="str">
        <f>IFERROR(_xlfn.XLOOKUP($A101,tblCustomers[Customer ID],tblCustomers[Customer Type]),"")</f>
        <v>NGO</v>
      </c>
      <c r="C101" t="str">
        <f>IFERROR(_xlfn.XLOOKUP($A101,tblCustomers[Customer ID],tblCustomers[Country]),"")</f>
        <v>South Africa</v>
      </c>
      <c r="D101" t="str">
        <f>IFERROR(_xlfn.XLOOKUP($A101,tblCustomers[Customer ID],tblCustomers[Occupation/Industry]),"")</f>
        <v>Non-Profit</v>
      </c>
      <c r="E101" t="str">
        <f>IFERROR(_xlfn.XLOOKUP($A101,tblCustomers[Customer ID],tblCustomers[Product Requested]),"")</f>
        <v>Fixed Deposit</v>
      </c>
      <c r="F101" t="str">
        <f>IFERROR(_xlfn.XLOOKUP($A101,tblCustomers[Customer ID],tblCustomers[Delivery Channel]),"")</f>
        <v>Relationship Manager</v>
      </c>
      <c r="G101" t="str">
        <f>IFERROR(_xlfn.XLOOKUP($A101,tblScreening[Customer ID],tblScreening[Screening Result]),"")</f>
        <v>Clear</v>
      </c>
      <c r="H101">
        <f>IFERROR(_xlfn.XLOOKUP(B101,tblCustomerType[Customer Type],tblCustomerType[Risk Score]),0)</f>
        <v>4</v>
      </c>
      <c r="I101">
        <f>IFERROR(_xlfn.XLOOKUP(C101,tblCountryRisk[Country],tblCountryRisk[Risk Score]),0)</f>
        <v>2</v>
      </c>
      <c r="J101">
        <f>IFERROR(_xlfn.XLOOKUP(D101,tblOccupationRisk[Occupation],tblOccupationRisk[Risk Score]),0)</f>
        <v>0</v>
      </c>
      <c r="K101">
        <f>IFERROR(_xlfn.XLOOKUP(E101,tblProductRisk[Product],tblProductRisk[Risk Score]),0)</f>
        <v>2</v>
      </c>
      <c r="L101">
        <f>IFERROR(_xlfn.XLOOKUP(F101,tblChannelRisk[Channel],tblChannelRisk[Risk Score]),0)</f>
        <v>2</v>
      </c>
      <c r="M101">
        <f>IFERROR(_xlfn.XLOOKUP(G101,tblScreeningRisk[Screening Result],tblScreeningRisk[Risk Score]),0)</f>
        <v>1</v>
      </c>
      <c r="N101">
        <f>IFERROR(
_xlfn.MAXIFS(
'[1]Transaction Monitoring'!Q:Q,
'[1]Transaction Monitoring'!B:B,
A101
),
1
)</f>
        <v>1</v>
      </c>
      <c r="O101">
        <f t="shared" si="1"/>
        <v>12</v>
      </c>
      <c r="P101" t="str" cm="1">
        <f t="array" ref="P101">_xlfn.IFS(
O101&lt;=12,"Low",
O101&lt;=20,"Medium",
O101&lt;=30,"High",
TRUE,"Very High"
)</f>
        <v>Low</v>
      </c>
      <c r="Q101" t="str" cm="1">
        <f t="array" ref="Q101">_xlfn.IFS(
G101="Reject","EDD",
R101="Potential Match","EDD",
G101="EDD Review","EDD",
AND(S101="Yes",I101&gt;=4),"EDD",
T101="No","EDD",
TRUE,
_xlfn.XLOOKUP(
P101,
tblDueDiligence[Risk Rating],
tblDueDiligence[Due Diligence]
)
)</f>
        <v>SDD</v>
      </c>
      <c r="R101" t="str">
        <f>IFERROR(
_xlfn.XLOOKUP($A101,
tblScreening[Customer ID],
tblScreening[Sanction Match]),
"")</f>
        <v>No Match</v>
      </c>
      <c r="S101" t="str">
        <f>IFERROR(
_xlfn.XLOOKUP($A101,
tblScreening[Customer ID],
tblScreening[PEP]),
"")</f>
        <v>No</v>
      </c>
      <c r="T101" t="str">
        <f>IFERROR(
_xlfn.XLOOKUP($A101,
tblScreening[Customer ID],
tblScreening[Source of Wealth Obtained]),
"")</f>
        <v>Yes</v>
      </c>
      <c r="U101" t="str" cm="1">
        <f t="array" ref="U101">_xlfn.IFS(
G101="Reject","Screening Rejected",
R101="Potential Match","Potential Sanctions Match",
AND(S101="Yes",I101&gt;=4),"PEP in High-Risk Country",
T101="No","Missing Source of Wealth",
G101="EDD Review","EDD Review Required",
TRUE,"None"
)</f>
        <v>None</v>
      </c>
      <c r="V101" t="str" cm="1">
        <f t="array" ref="V101">_xlfn.IFS(
G101="Reject","Reject",
R101="Potential Match","Reject",
G101="EDD Review","Escalate",
AND(S101="Yes",I101&gt;=4),"Escalate",
T101="No","Escalate",
TRUE,
_xlfn.XLOOKUP(
Q101,
tblDecision[Due Diligence],
tblDecision[Decision]
)
)</f>
        <v>Approve</v>
      </c>
    </row>
  </sheetData>
  <conditionalFormatting sqref="V1:V1048576">
    <cfRule type="containsText" dxfId="26" priority="1" operator="containsText" text="Reject">
      <formula>NOT(ISERROR(SEARCH("Reject",V1)))</formula>
    </cfRule>
    <cfRule type="containsText" dxfId="25" priority="2" operator="containsText" text="Escalate">
      <formula>NOT(ISERROR(SEARCH("Escalate",V1)))</formula>
    </cfRule>
    <cfRule type="containsText" dxfId="24" priority="3" operator="containsText" text="Esca">
      <formula>NOT(ISERROR(SEARCH("Esca",V1)))</formula>
    </cfRule>
    <cfRule type="containsText" dxfId="23" priority="4" operator="containsText" text="Approve">
      <formula>NOT(ISERROR(SEARCH("Approve",V1)))</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AB967-9C16-4075-AD66-31F9400A7934}">
  <dimension ref="A1:O101"/>
  <sheetViews>
    <sheetView topLeftCell="F15" workbookViewId="0">
      <selection activeCell="F32" sqref="F32"/>
    </sheetView>
  </sheetViews>
  <sheetFormatPr defaultRowHeight="15" x14ac:dyDescent="0.25"/>
  <cols>
    <col min="1" max="1" width="14" customWidth="1"/>
    <col min="2" max="2" width="27" bestFit="1" customWidth="1"/>
    <col min="3" max="3" width="12.7109375" customWidth="1"/>
    <col min="4" max="4" width="19.28515625" customWidth="1"/>
    <col min="5" max="5" width="21.5703125" customWidth="1"/>
    <col min="6" max="6" width="18.140625" customWidth="1"/>
    <col min="7" max="7" width="15.5703125" customWidth="1"/>
    <col min="8" max="8" width="15.7109375" customWidth="1"/>
    <col min="9" max="9" width="17.5703125" customWidth="1"/>
    <col min="10" max="10" width="24.42578125" customWidth="1"/>
    <col min="11" max="11" width="10.5703125" customWidth="1"/>
    <col min="12" max="12" width="16.85546875" customWidth="1"/>
    <col min="13" max="13" width="15.42578125" customWidth="1"/>
    <col min="14" max="14" width="16.140625" customWidth="1"/>
    <col min="15" max="15" width="40.85546875" bestFit="1" customWidth="1"/>
  </cols>
  <sheetData>
    <row r="1" spans="1:15" s="7" customFormat="1" x14ac:dyDescent="0.25">
      <c r="A1" s="6" t="s">
        <v>0</v>
      </c>
      <c r="B1" s="6" t="s">
        <v>426</v>
      </c>
      <c r="C1" s="6" t="s">
        <v>406</v>
      </c>
      <c r="D1" s="6" t="s">
        <v>410</v>
      </c>
      <c r="E1" s="6" t="s">
        <v>411</v>
      </c>
      <c r="F1" s="6" t="s">
        <v>427</v>
      </c>
      <c r="G1" s="6" t="s">
        <v>428</v>
      </c>
      <c r="H1" s="6" t="s">
        <v>429</v>
      </c>
      <c r="I1" s="6" t="s">
        <v>430</v>
      </c>
      <c r="J1" s="6" t="s">
        <v>431</v>
      </c>
      <c r="K1" s="6" t="s">
        <v>432</v>
      </c>
      <c r="L1" s="6" t="s">
        <v>433</v>
      </c>
      <c r="M1" s="6" t="s">
        <v>434</v>
      </c>
      <c r="N1" s="6" t="s">
        <v>435</v>
      </c>
      <c r="O1" s="6" t="s">
        <v>446</v>
      </c>
    </row>
    <row r="2" spans="1:15" x14ac:dyDescent="0.25">
      <c r="A2" t="s">
        <v>10</v>
      </c>
      <c r="B2" t="str">
        <f>IFERROR(
_xlfn.XLOOKUP(
A2,
tblCustomers[Customer ID],
tblCustomers[Full Name]
),
""
)</f>
        <v>Fatima Eze</v>
      </c>
      <c r="C2" t="str">
        <f>IFERROR(
_xlfn.XLOOKUP(
A2,
RiskMatrix[Customer ID],
RiskMatrix[Risk Rating]
),
""
)</f>
        <v>Low</v>
      </c>
      <c r="D2" t="str">
        <f>IFERROR(
_xlfn.XLOOKUP(
A2,
RiskMatrix[Customer ID],
RiskMatrix[Due Diligence Tier]
),
""
)</f>
        <v>SDD</v>
      </c>
      <c r="E2" t="str">
        <f>IFERROR(
_xlfn.XLOOKUP(
A2,
RiskMatrix[Customer ID],#REF!
),
""
)</f>
        <v/>
      </c>
      <c r="F2" t="s">
        <v>436</v>
      </c>
      <c r="G2" t="s">
        <v>444</v>
      </c>
      <c r="H2" s="2">
        <f ca="1">IF(
F2&lt;&gt;"",
TODAY(),
""
)</f>
        <v>46234</v>
      </c>
      <c r="I2" s="2">
        <v>46234</v>
      </c>
      <c r="J2" t="str">
        <f>_xlfn.LET(
_xlpm.AddressStatus,IFERROR(_xlfn.XLOOKUP(A2,tblCIP[Customer ID],tblCIP[Address Verified]),""),
_xlpm.SOWStatus,IFERROR(_xlfn.XLOOKUP(A2,tblScreening[Customer ID],tblScreening[Source of Wealth Obtained]),""),
IF(
AND(_xlpm.AddressStatus="Yes",_xlpm.SOWStatus="Yes"),
"None",
_xlfn.TEXTJOIN("; ",TRUE,
IF(_xlpm.AddressStatus="No","Proof of Address",""),
IF(_xlpm.SOWStatus="No","Source of Wealth","")
)
)
)</f>
        <v>None</v>
      </c>
      <c r="L2" t="s">
        <v>437</v>
      </c>
      <c r="M2" t="str">
        <f>_xlfn.IFS(L2="Approved","Approved",L2="Declined","Rejected",L2="Further Review","Escalated",TRUE,"Pending")</f>
        <v>Approved</v>
      </c>
      <c r="N2" t="str" cm="1">
        <f t="array" ref="N2">_xlfn.IFS(
M2="Approved","Open Account",
M2="Rejected","Do Not Onboard",
M2="Escalated","Pending Review",
TRUE,"Awaiting Decision"
)</f>
        <v>Open Account</v>
      </c>
      <c r="O2" t="str" cm="1">
        <f t="array" ref="O2">_xlfn.IFS(
N2="Open Account","Customer approved and account opened.",
M2="Approved","Approved by MLRO. Awaiting account activation.",
M2="Rejected","Customer rejected after compliance review.",
M2="Escalated","Escalated for enhanced due diligence.",
G2="Awaiting Customer","Awaiting additional customer documentation.",
G2="In Progress","Compliance review currently in progress.",
G2="Completed","Compliance review completed. Awaiting MLRO decision.",
TRUE,"Case created and pending analyst review."
)</f>
        <v>Customer approved and account opened.</v>
      </c>
    </row>
    <row r="3" spans="1:15" x14ac:dyDescent="0.25">
      <c r="A3" t="s">
        <v>19</v>
      </c>
      <c r="B3" t="str">
        <f>IFERROR(
_xlfn.XLOOKUP(
A3,
tblCustomers[Customer ID],
tblCustomers[Full Name]
),
""
)</f>
        <v>Precious Adeyemi</v>
      </c>
      <c r="C3" t="str">
        <f>IFERROR(
_xlfn.XLOOKUP(
A3,
RiskMatrix[Customer ID],
RiskMatrix[Risk Rating]
),
""
)</f>
        <v>Low</v>
      </c>
      <c r="D3" t="str">
        <f>IFERROR(
_xlfn.XLOOKUP(
A3,
RiskMatrix[Customer ID],
RiskMatrix[Due Diligence Tier]
),
""
)</f>
        <v>SDD</v>
      </c>
      <c r="E3" t="str">
        <f>IFERROR(
_xlfn.XLOOKUP(
A3,
RiskMatrix[Customer ID],#REF!
),
""
)</f>
        <v/>
      </c>
      <c r="F3" t="s">
        <v>436</v>
      </c>
      <c r="G3" t="s">
        <v>444</v>
      </c>
      <c r="H3" s="2">
        <f ca="1">IF(
F3&lt;&gt;"",
TODAY(),
""
)</f>
        <v>46234</v>
      </c>
      <c r="I3" s="2">
        <v>46235</v>
      </c>
      <c r="J3" t="str">
        <f>_xlfn.LET(
_xlpm.AddressStatus,IFERROR(_xlfn.XLOOKUP(A3,tblCIP[Customer ID],tblCIP[Address Verified]),""),
_xlpm.SOWStatus,IFERROR(_xlfn.XLOOKUP(A3,tblScreening[Customer ID],tblScreening[Source of Wealth Obtained]),""),
IF(
AND(_xlpm.AddressStatus="Yes",_xlpm.SOWStatus="Yes"),
"None",
_xlfn.TEXTJOIN("; ",TRUE,
IF(_xlpm.AddressStatus="No","Proof of Address",""),
IF(_xlpm.SOWStatus="No","Source of Wealth","")
)
)
)</f>
        <v>None</v>
      </c>
      <c r="L3" t="s">
        <v>437</v>
      </c>
      <c r="M3" t="str">
        <f t="shared" ref="M3:M66" si="0">_xlfn.IFS(L3="Approved","Approved",L3="Declined","Rejected",L3="Further Review","Escalated",TRUE,"Pending")</f>
        <v>Approved</v>
      </c>
      <c r="N3" t="str" cm="1">
        <f t="array" ref="N3">_xlfn.IFS(
M3="Approved","Open Account",
M3="Rejected","Do Not Onboard",
M3="Escalated","Pending Review",
TRUE,"Awaiting Decision"
)</f>
        <v>Open Account</v>
      </c>
      <c r="O3" t="str" cm="1">
        <f t="array" ref="O3">_xlfn.IFS(
N3="Open Account","Customer approved and account opened.",
M3="Approved","Approved by MLRO. Awaiting account activation.",
M3="Rejected","Customer rejected after compliance review.",
M3="Escalated","Escalated for enhanced due diligence.",
G3="Awaiting Customer","Awaiting additional customer documentation.",
G3="In Progress","Compliance review currently in progress.",
G3="Completed","Compliance review completed. Awaiting MLRO decision.",
TRUE,"Case created and pending analyst review."
)</f>
        <v>Customer approved and account opened.</v>
      </c>
    </row>
    <row r="4" spans="1:15" x14ac:dyDescent="0.25">
      <c r="A4" t="s">
        <v>25</v>
      </c>
      <c r="B4" t="str">
        <f>IFERROR(
_xlfn.XLOOKUP(
A4,
tblCustomers[Customer ID],
tblCustomers[Full Name]
),
""
)</f>
        <v>Zainab Osei</v>
      </c>
      <c r="C4" t="str">
        <f>IFERROR(
_xlfn.XLOOKUP(
A4,
RiskMatrix[Customer ID],
RiskMatrix[Risk Rating]
),
""
)</f>
        <v>Medium</v>
      </c>
      <c r="D4" t="str">
        <f>IFERROR(
_xlfn.XLOOKUP(
A4,
RiskMatrix[Customer ID],
RiskMatrix[Due Diligence Tier]
),
""
)</f>
        <v>CDD</v>
      </c>
      <c r="E4" t="str">
        <f>IFERROR(
_xlfn.XLOOKUP(
A4,
RiskMatrix[Customer ID],#REF!
),
""
)</f>
        <v/>
      </c>
      <c r="F4" t="s">
        <v>436</v>
      </c>
      <c r="G4" t="s">
        <v>444</v>
      </c>
      <c r="H4" s="2">
        <f t="shared" ref="H4:H66" ca="1" si="1">IF(
F4&lt;&gt;"",
TODAY(),
""
)</f>
        <v>46234</v>
      </c>
      <c r="I4" s="2">
        <v>46236</v>
      </c>
      <c r="J4" t="str">
        <f>_xlfn.LET(
_xlpm.AddressStatus,IFERROR(_xlfn.XLOOKUP(A4,tblCIP[Customer ID],tblCIP[Address Verified]),""),
_xlpm.SOWStatus,IFERROR(_xlfn.XLOOKUP(A4,tblScreening[Customer ID],tblScreening[Source of Wealth Obtained]),""),
IF(
AND(_xlpm.AddressStatus="Yes",_xlpm.SOWStatus="Yes"),
"None",
_xlfn.TEXTJOIN("; ",TRUE,
IF(_xlpm.AddressStatus="No","Proof of Address",""),
IF(_xlpm.SOWStatus="No","Source of Wealth","")
)
)
)</f>
        <v>None</v>
      </c>
      <c r="L4" t="s">
        <v>437</v>
      </c>
      <c r="M4" t="str">
        <f t="shared" si="0"/>
        <v>Approved</v>
      </c>
      <c r="N4" t="str" cm="1">
        <f t="array" ref="N4">_xlfn.IFS(
M4="Approved","Open Account",
M4="Rejected","Do Not Onboard",
M4="Escalated","Pending Review",
TRUE,"Awaiting Decision"
)</f>
        <v>Open Account</v>
      </c>
      <c r="O4" t="str" cm="1">
        <f t="array" ref="O4">_xlfn.IFS(
N4="Open Account","Customer approved and account opened.",
M4="Approved","Approved by MLRO. Awaiting account activation.",
M4="Rejected","Customer rejected after compliance review.",
M4="Escalated","Escalated for enhanced due diligence.",
G4="Awaiting Customer","Awaiting additional customer documentation.",
G4="In Progress","Compliance review currently in progress.",
G4="Completed","Compliance review completed. Awaiting MLRO decision.",
TRUE,"Case created and pending analyst review."
)</f>
        <v>Customer approved and account opened.</v>
      </c>
    </row>
    <row r="5" spans="1:15" x14ac:dyDescent="0.25">
      <c r="A5" t="s">
        <v>31</v>
      </c>
      <c r="B5" t="str">
        <f>IFERROR(
_xlfn.XLOOKUP(
A5,
tblCustomers[Customer ID],
tblCustomers[Full Name]
),
""
)</f>
        <v>Michael Obi</v>
      </c>
      <c r="C5" t="str">
        <f>IFERROR(
_xlfn.XLOOKUP(
A5,
RiskMatrix[Customer ID],
RiskMatrix[Risk Rating]
),
""
)</f>
        <v>Low</v>
      </c>
      <c r="D5" t="str">
        <f>IFERROR(
_xlfn.XLOOKUP(
A5,
RiskMatrix[Customer ID],
RiskMatrix[Due Diligence Tier]
),
""
)</f>
        <v>SDD</v>
      </c>
      <c r="E5" t="str">
        <f>IFERROR(
_xlfn.XLOOKUP(
A5,
RiskMatrix[Customer ID],#REF!
),
""
)</f>
        <v/>
      </c>
      <c r="F5" t="s">
        <v>436</v>
      </c>
      <c r="G5" t="s">
        <v>444</v>
      </c>
      <c r="H5" s="2">
        <f t="shared" ca="1" si="1"/>
        <v>46234</v>
      </c>
      <c r="I5" s="2">
        <v>46237</v>
      </c>
      <c r="J5" t="str">
        <f>_xlfn.LET(
_xlpm.AddressStatus,IFERROR(_xlfn.XLOOKUP(A5,tblCIP[Customer ID],tblCIP[Address Verified]),""),
_xlpm.SOWStatus,IFERROR(_xlfn.XLOOKUP(A5,tblScreening[Customer ID],tblScreening[Source of Wealth Obtained]),""),
IF(
AND(_xlpm.AddressStatus="Yes",_xlpm.SOWStatus="Yes"),
"None",
_xlfn.TEXTJOIN("; ",TRUE,
IF(_xlpm.AddressStatus="No","Proof of Address",""),
IF(_xlpm.SOWStatus="No","Source of Wealth","")
)
)
)</f>
        <v>None</v>
      </c>
      <c r="L5" t="s">
        <v>437</v>
      </c>
      <c r="M5" t="str">
        <f t="shared" si="0"/>
        <v>Approved</v>
      </c>
      <c r="N5" t="str" cm="1">
        <f t="array" ref="N5">_xlfn.IFS(
M5="Approved","Open Account",
M5="Rejected","Do Not Onboard",
M5="Escalated","Pending Review",
TRUE,"Awaiting Decision"
)</f>
        <v>Open Account</v>
      </c>
      <c r="O5" t="str" cm="1">
        <f t="array" ref="O5">_xlfn.IFS(
N5="Open Account","Customer approved and account opened.",
M5="Approved","Approved by MLRO. Awaiting account activation.",
M5="Rejected","Customer rejected after compliance review.",
M5="Escalated","Escalated for enhanced due diligence.",
G5="Awaiting Customer","Awaiting additional customer documentation.",
G5="In Progress","Compliance review currently in progress.",
G5="Completed","Compliance review completed. Awaiting MLRO decision.",
TRUE,"Case created and pending analyst review."
)</f>
        <v>Customer approved and account opened.</v>
      </c>
    </row>
    <row r="6" spans="1:15" x14ac:dyDescent="0.25">
      <c r="A6" t="s">
        <v>34</v>
      </c>
      <c r="B6" t="str">
        <f>IFERROR(
_xlfn.XLOOKUP(
A6,
tblCustomers[Customer ID],
tblCustomers[Full Name]
),
""
)</f>
        <v>Mary Smith</v>
      </c>
      <c r="C6" t="str">
        <f>IFERROR(
_xlfn.XLOOKUP(
A6,
RiskMatrix[Customer ID],
RiskMatrix[Risk Rating]
),
""
)</f>
        <v>Medium</v>
      </c>
      <c r="D6" t="str">
        <f>IFERROR(
_xlfn.XLOOKUP(
A6,
RiskMatrix[Customer ID],
RiskMatrix[Due Diligence Tier]
),
""
)</f>
        <v>CDD</v>
      </c>
      <c r="E6" t="str">
        <f>IFERROR(
_xlfn.XLOOKUP(
A6,
RiskMatrix[Customer ID],#REF!
),
""
)</f>
        <v/>
      </c>
      <c r="F6" t="s">
        <v>436</v>
      </c>
      <c r="G6" t="s">
        <v>444</v>
      </c>
      <c r="H6" s="2">
        <f t="shared" ca="1" si="1"/>
        <v>46234</v>
      </c>
      <c r="I6" s="2">
        <v>46238</v>
      </c>
      <c r="J6" t="str">
        <f>_xlfn.LET(
_xlpm.AddressStatus,IFERROR(_xlfn.XLOOKUP(A6,tblCIP[Customer ID],tblCIP[Address Verified]),""),
_xlpm.SOWStatus,IFERROR(_xlfn.XLOOKUP(A6,tblScreening[Customer ID],tblScreening[Source of Wealth Obtained]),""),
IF(
AND(_xlpm.AddressStatus="Yes",_xlpm.SOWStatus="Yes"),
"None",
_xlfn.TEXTJOIN("; ",TRUE,
IF(_xlpm.AddressStatus="No","Proof of Address",""),
IF(_xlpm.SOWStatus="No","Source of Wealth","")
)
)
)</f>
        <v>None</v>
      </c>
      <c r="L6" t="s">
        <v>437</v>
      </c>
      <c r="M6" t="str">
        <f t="shared" si="0"/>
        <v>Approved</v>
      </c>
      <c r="N6" t="str" cm="1">
        <f t="array" ref="N6">_xlfn.IFS(
M6="Approved","Open Account",
M6="Rejected","Do Not Onboard",
M6="Escalated","Pending Review",
TRUE,"Awaiting Decision"
)</f>
        <v>Open Account</v>
      </c>
      <c r="O6" t="str" cm="1">
        <f t="array" ref="O6">_xlfn.IFS(
N6="Open Account","Customer approved and account opened.",
M6="Approved","Approved by MLRO. Awaiting account activation.",
M6="Rejected","Customer rejected after compliance review.",
M6="Escalated","Escalated for enhanced due diligence.",
G6="Awaiting Customer","Awaiting additional customer documentation.",
G6="In Progress","Compliance review currently in progress.",
G6="Completed","Compliance review completed. Awaiting MLRO decision.",
TRUE,"Case created and pending analyst review."
)</f>
        <v>Customer approved and account opened.</v>
      </c>
    </row>
    <row r="7" spans="1:15" x14ac:dyDescent="0.25">
      <c r="A7" t="s">
        <v>39</v>
      </c>
      <c r="B7" t="str">
        <f>IFERROR(
_xlfn.XLOOKUP(
A7,
tblCustomers[Customer ID],
tblCustomers[Full Name]
),
""
)</f>
        <v>Ruth Smith</v>
      </c>
      <c r="C7" t="str">
        <f>IFERROR(
_xlfn.XLOOKUP(
A7,
RiskMatrix[Customer ID],
RiskMatrix[Risk Rating]
),
""
)</f>
        <v>Low</v>
      </c>
      <c r="D7" t="str">
        <f>IFERROR(
_xlfn.XLOOKUP(
A7,
RiskMatrix[Customer ID],
RiskMatrix[Due Diligence Tier]
),
""
)</f>
        <v>SDD</v>
      </c>
      <c r="E7" t="str">
        <f>IFERROR(
_xlfn.XLOOKUP(
A7,
RiskMatrix[Customer ID],#REF!
),
""
)</f>
        <v/>
      </c>
      <c r="F7" t="s">
        <v>436</v>
      </c>
      <c r="G7" t="s">
        <v>444</v>
      </c>
      <c r="H7" s="2">
        <f t="shared" ca="1" si="1"/>
        <v>46234</v>
      </c>
      <c r="I7" s="2">
        <v>46239</v>
      </c>
      <c r="J7" t="str">
        <f>_xlfn.LET(
_xlpm.AddressStatus,IFERROR(_xlfn.XLOOKUP(A7,tblCIP[Customer ID],tblCIP[Address Verified]),""),
_xlpm.SOWStatus,IFERROR(_xlfn.XLOOKUP(A7,tblScreening[Customer ID],tblScreening[Source of Wealth Obtained]),""),
IF(
AND(_xlpm.AddressStatus="Yes",_xlpm.SOWStatus="Yes"),
"None",
_xlfn.TEXTJOIN("; ",TRUE,
IF(_xlpm.AddressStatus="No","Proof of Address",""),
IF(_xlpm.SOWStatus="No","Source of Wealth","")
)
)
)</f>
        <v>None</v>
      </c>
      <c r="L7" t="s">
        <v>437</v>
      </c>
      <c r="M7" t="str">
        <f t="shared" si="0"/>
        <v>Approved</v>
      </c>
      <c r="N7" t="str" cm="1">
        <f t="array" ref="N7">_xlfn.IFS(
M7="Approved","Open Account",
M7="Rejected","Do Not Onboard",
M7="Escalated","Pending Review",
TRUE,"Awaiting Decision"
)</f>
        <v>Open Account</v>
      </c>
      <c r="O7" t="str" cm="1">
        <f t="array" ref="O7">_xlfn.IFS(
N7="Open Account","Customer approved and account opened.",
M7="Approved","Approved by MLRO. Awaiting account activation.",
M7="Rejected","Customer rejected after compliance review.",
M7="Escalated","Escalated for enhanced due diligence.",
G7="Awaiting Customer","Awaiting additional customer documentation.",
G7="In Progress","Compliance review currently in progress.",
G7="Completed","Compliance review completed. Awaiting MLRO decision.",
TRUE,"Case created and pending analyst review."
)</f>
        <v>Customer approved and account opened.</v>
      </c>
    </row>
    <row r="8" spans="1:15" x14ac:dyDescent="0.25">
      <c r="A8" t="s">
        <v>42</v>
      </c>
      <c r="B8" t="str">
        <f>IFERROR(
_xlfn.XLOOKUP(
A8,
tblCustomers[Customer ID],
tblCustomers[Full Name]
),
""
)</f>
        <v>Esther Musa</v>
      </c>
      <c r="C8" t="str">
        <f>IFERROR(
_xlfn.XLOOKUP(
A8,
RiskMatrix[Customer ID],
RiskMatrix[Risk Rating]
),
""
)</f>
        <v>Medium</v>
      </c>
      <c r="D8" t="str">
        <f>IFERROR(
_xlfn.XLOOKUP(
A8,
RiskMatrix[Customer ID],
RiskMatrix[Due Diligence Tier]
),
""
)</f>
        <v>CDD</v>
      </c>
      <c r="E8" t="str">
        <f>IFERROR(
_xlfn.XLOOKUP(
A8,
RiskMatrix[Customer ID],#REF!
),
""
)</f>
        <v/>
      </c>
      <c r="F8" t="s">
        <v>436</v>
      </c>
      <c r="G8" t="s">
        <v>444</v>
      </c>
      <c r="H8" s="2">
        <f t="shared" ca="1" si="1"/>
        <v>46234</v>
      </c>
      <c r="I8" s="2">
        <v>46240</v>
      </c>
      <c r="J8" t="str">
        <f>_xlfn.LET(
_xlpm.AddressStatus,IFERROR(_xlfn.XLOOKUP(A8,tblCIP[Customer ID],tblCIP[Address Verified]),""),
_xlpm.SOWStatus,IFERROR(_xlfn.XLOOKUP(A8,tblScreening[Customer ID],tblScreening[Source of Wealth Obtained]),""),
IF(
AND(_xlpm.AddressStatus="Yes",_xlpm.SOWStatus="Yes"),
"None",
_xlfn.TEXTJOIN("; ",TRUE,
IF(_xlpm.AddressStatus="No","Proof of Address",""),
IF(_xlpm.SOWStatus="No","Source of Wealth","")
)
)
)</f>
        <v>None</v>
      </c>
      <c r="L8" t="s">
        <v>437</v>
      </c>
      <c r="M8" t="str">
        <f t="shared" si="0"/>
        <v>Approved</v>
      </c>
      <c r="N8" t="str" cm="1">
        <f t="array" ref="N8">_xlfn.IFS(
M8="Approved","Open Account",
M8="Rejected","Do Not Onboard",
M8="Escalated","Pending Review",
TRUE,"Awaiting Decision"
)</f>
        <v>Open Account</v>
      </c>
      <c r="O8" t="str" cm="1">
        <f t="array" ref="O8">_xlfn.IFS(
N8="Open Account","Customer approved and account opened.",
M8="Approved","Approved by MLRO. Awaiting account activation.",
M8="Rejected","Customer rejected after compliance review.",
M8="Escalated","Escalated for enhanced due diligence.",
G8="Awaiting Customer","Awaiting additional customer documentation.",
G8="In Progress","Compliance review currently in progress.",
G8="Completed","Compliance review completed. Awaiting MLRO decision.",
TRUE,"Case created and pending analyst review."
)</f>
        <v>Customer approved and account opened.</v>
      </c>
    </row>
    <row r="9" spans="1:15" x14ac:dyDescent="0.25">
      <c r="A9" t="s">
        <v>48</v>
      </c>
      <c r="B9" t="str">
        <f>IFERROR(
_xlfn.XLOOKUP(
A9,
tblCustomers[Customer ID],
tblCustomers[Full Name]
),
""
)</f>
        <v>James Nwosu</v>
      </c>
      <c r="C9" t="str">
        <f>IFERROR(
_xlfn.XLOOKUP(
A9,
RiskMatrix[Customer ID],
RiskMatrix[Risk Rating]
),
""
)</f>
        <v>Medium</v>
      </c>
      <c r="D9" t="str">
        <f>IFERROR(
_xlfn.XLOOKUP(
A9,
RiskMatrix[Customer ID],
RiskMatrix[Due Diligence Tier]
),
""
)</f>
        <v>CDD</v>
      </c>
      <c r="E9" t="str">
        <f>IFERROR(
_xlfn.XLOOKUP(
A9,
RiskMatrix[Customer ID],#REF!
),
""
)</f>
        <v/>
      </c>
      <c r="F9" t="s">
        <v>436</v>
      </c>
      <c r="G9" t="s">
        <v>444</v>
      </c>
      <c r="H9" s="2">
        <f t="shared" ca="1" si="1"/>
        <v>46234</v>
      </c>
      <c r="I9" s="2">
        <v>46241</v>
      </c>
      <c r="J9" t="str">
        <f>_xlfn.LET(
_xlpm.AddressStatus,IFERROR(_xlfn.XLOOKUP(A9,tblCIP[Customer ID],tblCIP[Address Verified]),""),
_xlpm.SOWStatus,IFERROR(_xlfn.XLOOKUP(A9,tblScreening[Customer ID],tblScreening[Source of Wealth Obtained]),""),
IF(
AND(_xlpm.AddressStatus="Yes",_xlpm.SOWStatus="Yes"),
"None",
_xlfn.TEXTJOIN("; ",TRUE,
IF(_xlpm.AddressStatus="No","Proof of Address",""),
IF(_xlpm.SOWStatus="No","Source of Wealth","")
)
)
)</f>
        <v>None</v>
      </c>
      <c r="L9" t="s">
        <v>437</v>
      </c>
      <c r="M9" t="str">
        <f t="shared" si="0"/>
        <v>Approved</v>
      </c>
      <c r="N9" t="str" cm="1">
        <f t="array" ref="N9">_xlfn.IFS(
M9="Approved","Open Account",
M9="Rejected","Do Not Onboard",
M9="Escalated","Pending Review",
TRUE,"Awaiting Decision"
)</f>
        <v>Open Account</v>
      </c>
      <c r="O9" t="str" cm="1">
        <f t="array" ref="O9">_xlfn.IFS(
N9="Open Account","Customer approved and account opened.",
M9="Approved","Approved by MLRO. Awaiting account activation.",
M9="Rejected","Customer rejected after compliance review.",
M9="Escalated","Escalated for enhanced due diligence.",
G9="Awaiting Customer","Awaiting additional customer documentation.",
G9="In Progress","Compliance review currently in progress.",
G9="Completed","Compliance review completed. Awaiting MLRO decision.",
TRUE,"Case created and pending analyst review."
)</f>
        <v>Customer approved and account opened.</v>
      </c>
    </row>
    <row r="10" spans="1:15" x14ac:dyDescent="0.25">
      <c r="A10" t="s">
        <v>51</v>
      </c>
      <c r="B10" t="str">
        <f>IFERROR(
_xlfn.XLOOKUP(
A10,
tblCustomers[Customer ID],
tblCustomers[Full Name]
),
""
)</f>
        <v>Chioma Adeyemi</v>
      </c>
      <c r="C10" t="str">
        <f>IFERROR(
_xlfn.XLOOKUP(
A10,
RiskMatrix[Customer ID],
RiskMatrix[Risk Rating]
),
""
)</f>
        <v>Low</v>
      </c>
      <c r="D10" t="str">
        <f>IFERROR(
_xlfn.XLOOKUP(
A10,
RiskMatrix[Customer ID],
RiskMatrix[Due Diligence Tier]
),
""
)</f>
        <v>SDD</v>
      </c>
      <c r="E10" t="str">
        <f>IFERROR(
_xlfn.XLOOKUP(
A10,
RiskMatrix[Customer ID],#REF!
),
""
)</f>
        <v/>
      </c>
      <c r="F10" t="s">
        <v>436</v>
      </c>
      <c r="G10" t="s">
        <v>444</v>
      </c>
      <c r="H10" s="2">
        <f t="shared" ca="1" si="1"/>
        <v>46234</v>
      </c>
      <c r="I10" s="2">
        <v>46242</v>
      </c>
      <c r="J10" t="str">
        <f>_xlfn.LET(
_xlpm.AddressStatus,IFERROR(_xlfn.XLOOKUP(A10,tblCIP[Customer ID],tblCIP[Address Verified]),""),
_xlpm.SOWStatus,IFERROR(_xlfn.XLOOKUP(A10,tblScreening[Customer ID],tblScreening[Source of Wealth Obtained]),""),
IF(
AND(_xlpm.AddressStatus="Yes",_xlpm.SOWStatus="Yes"),
"None",
_xlfn.TEXTJOIN("; ",TRUE,
IF(_xlpm.AddressStatus="No","Proof of Address",""),
IF(_xlpm.SOWStatus="No","Source of Wealth","")
)
)
)</f>
        <v>None</v>
      </c>
      <c r="L10" t="s">
        <v>437</v>
      </c>
      <c r="M10" t="str">
        <f t="shared" si="0"/>
        <v>Approved</v>
      </c>
      <c r="N10" t="str" cm="1">
        <f t="array" ref="N10">_xlfn.IFS(
M10="Approved","Open Account",
M10="Rejected","Do Not Onboard",
M10="Escalated","Pending Review",
TRUE,"Awaiting Decision"
)</f>
        <v>Open Account</v>
      </c>
      <c r="O10" t="str" cm="1">
        <f t="array" ref="O10">_xlfn.IFS(
N10="Open Account","Customer approved and account opened.",
M10="Approved","Approved by MLRO. Awaiting account activation.",
M10="Rejected","Customer rejected after compliance review.",
M10="Escalated","Escalated for enhanced due diligence.",
G10="Awaiting Customer","Awaiting additional customer documentation.",
G10="In Progress","Compliance review currently in progress.",
G10="Completed","Compliance review completed. Awaiting MLRO decision.",
TRUE,"Case created and pending analyst review."
)</f>
        <v>Customer approved and account opened.</v>
      </c>
    </row>
    <row r="11" spans="1:15" x14ac:dyDescent="0.25">
      <c r="A11" t="s">
        <v>56</v>
      </c>
      <c r="B11" t="str">
        <f>IFERROR(
_xlfn.XLOOKUP(
A11,
tblCustomers[Customer ID],
tblCustomers[Full Name]
),
""
)</f>
        <v>Zainab Williams</v>
      </c>
      <c r="C11" t="str">
        <f>IFERROR(
_xlfn.XLOOKUP(
A11,
RiskMatrix[Customer ID],
RiskMatrix[Risk Rating]
),
""
)</f>
        <v>Medium</v>
      </c>
      <c r="D11" t="str">
        <f>IFERROR(
_xlfn.XLOOKUP(
A11,
RiskMatrix[Customer ID],
RiskMatrix[Due Diligence Tier]
),
""
)</f>
        <v>CDD</v>
      </c>
      <c r="E11" t="str">
        <f>IFERROR(
_xlfn.XLOOKUP(
A11,
RiskMatrix[Customer ID],#REF!
),
""
)</f>
        <v/>
      </c>
      <c r="F11" t="s">
        <v>436</v>
      </c>
      <c r="G11" t="s">
        <v>444</v>
      </c>
      <c r="H11" s="2">
        <f t="shared" ca="1" si="1"/>
        <v>46234</v>
      </c>
      <c r="I11" s="2">
        <v>46243</v>
      </c>
      <c r="J11" t="str">
        <f>_xlfn.LET(
_xlpm.AddressStatus,IFERROR(_xlfn.XLOOKUP(A11,tblCIP[Customer ID],tblCIP[Address Verified]),""),
_xlpm.SOWStatus,IFERROR(_xlfn.XLOOKUP(A11,tblScreening[Customer ID],tblScreening[Source of Wealth Obtained]),""),
IF(
AND(_xlpm.AddressStatus="Yes",_xlpm.SOWStatus="Yes"),
"None",
_xlfn.TEXTJOIN("; ",TRUE,
IF(_xlpm.AddressStatus="No","Proof of Address",""),
IF(_xlpm.SOWStatus="No","Source of Wealth","")
)
)
)</f>
        <v>None</v>
      </c>
      <c r="L11" t="s">
        <v>437</v>
      </c>
      <c r="M11" t="str">
        <f t="shared" si="0"/>
        <v>Approved</v>
      </c>
      <c r="N11" t="str" cm="1">
        <f t="array" ref="N11">_xlfn.IFS(
M11="Approved","Open Account",
M11="Rejected","Do Not Onboard",
M11="Escalated","Pending Review",
TRUE,"Awaiting Decision"
)</f>
        <v>Open Account</v>
      </c>
      <c r="O11" t="str" cm="1">
        <f t="array" ref="O11">_xlfn.IFS(
N11="Open Account","Customer approved and account opened.",
M11="Approved","Approved by MLRO. Awaiting account activation.",
M11="Rejected","Customer rejected after compliance review.",
M11="Escalated","Escalated for enhanced due diligence.",
G11="Awaiting Customer","Awaiting additional customer documentation.",
G11="In Progress","Compliance review currently in progress.",
G11="Completed","Compliance review completed. Awaiting MLRO decision.",
TRUE,"Case created and pending analyst review."
)</f>
        <v>Customer approved and account opened.</v>
      </c>
    </row>
    <row r="12" spans="1:15" x14ac:dyDescent="0.25">
      <c r="A12" t="s">
        <v>60</v>
      </c>
      <c r="B12" t="str">
        <f>IFERROR(
_xlfn.XLOOKUP(
A12,
tblCustomers[Customer ID],
tblCustomers[Full Name]
),
""
)</f>
        <v>Zainab Garba</v>
      </c>
      <c r="C12" t="str">
        <f>IFERROR(
_xlfn.XLOOKUP(
A12,
RiskMatrix[Customer ID],
RiskMatrix[Risk Rating]
),
""
)</f>
        <v>Low</v>
      </c>
      <c r="D12" t="str">
        <f>IFERROR(
_xlfn.XLOOKUP(
A12,
RiskMatrix[Customer ID],
RiskMatrix[Due Diligence Tier]
),
""
)</f>
        <v>SDD</v>
      </c>
      <c r="E12" t="str">
        <f>IFERROR(
_xlfn.XLOOKUP(
A12,
RiskMatrix[Customer ID],#REF!
),
""
)</f>
        <v/>
      </c>
      <c r="F12" t="s">
        <v>436</v>
      </c>
      <c r="G12" t="s">
        <v>444</v>
      </c>
      <c r="H12" s="2">
        <f t="shared" ca="1" si="1"/>
        <v>46234</v>
      </c>
      <c r="I12" s="2">
        <v>46244</v>
      </c>
      <c r="J12" t="str">
        <f>_xlfn.LET(
_xlpm.AddressStatus,IFERROR(_xlfn.XLOOKUP(A12,tblCIP[Customer ID],tblCIP[Address Verified]),""),
_xlpm.SOWStatus,IFERROR(_xlfn.XLOOKUP(A12,tblScreening[Customer ID],tblScreening[Source of Wealth Obtained]),""),
IF(
AND(_xlpm.AddressStatus="Yes",_xlpm.SOWStatus="Yes"),
"None",
_xlfn.TEXTJOIN("; ",TRUE,
IF(_xlpm.AddressStatus="No","Proof of Address",""),
IF(_xlpm.SOWStatus="No","Source of Wealth","")
)
)
)</f>
        <v>None</v>
      </c>
      <c r="L12" t="s">
        <v>437</v>
      </c>
      <c r="M12" t="str">
        <f t="shared" si="0"/>
        <v>Approved</v>
      </c>
      <c r="N12" t="str" cm="1">
        <f t="array" ref="N12">_xlfn.IFS(
M12="Approved","Open Account",
M12="Rejected","Do Not Onboard",
M12="Escalated","Pending Review",
TRUE,"Awaiting Decision"
)</f>
        <v>Open Account</v>
      </c>
      <c r="O12" t="str" cm="1">
        <f t="array" ref="O12">_xlfn.IFS(
N12="Open Account","Customer approved and account opened.",
M12="Approved","Approved by MLRO. Awaiting account activation.",
M12="Rejected","Customer rejected after compliance review.",
M12="Escalated","Escalated for enhanced due diligence.",
G12="Awaiting Customer","Awaiting additional customer documentation.",
G12="In Progress","Compliance review currently in progress.",
G12="Completed","Compliance review completed. Awaiting MLRO decision.",
TRUE,"Case created and pending analyst review."
)</f>
        <v>Customer approved and account opened.</v>
      </c>
    </row>
    <row r="13" spans="1:15" x14ac:dyDescent="0.25">
      <c r="A13" t="s">
        <v>62</v>
      </c>
      <c r="B13" t="str">
        <f>IFERROR(
_xlfn.XLOOKUP(
A13,
tblCustomers[Customer ID],
tblCustomers[Full Name]
),
""
)</f>
        <v>Ahmed Ali</v>
      </c>
      <c r="C13" t="str">
        <f>IFERROR(
_xlfn.XLOOKUP(
A13,
RiskMatrix[Customer ID],
RiskMatrix[Risk Rating]
),
""
)</f>
        <v>Medium</v>
      </c>
      <c r="D13" t="str">
        <f>IFERROR(
_xlfn.XLOOKUP(
A13,
RiskMatrix[Customer ID],
RiskMatrix[Due Diligence Tier]
),
""
)</f>
        <v>CDD</v>
      </c>
      <c r="E13" t="str">
        <f>IFERROR(
_xlfn.XLOOKUP(
A13,
RiskMatrix[Customer ID],#REF!
),
""
)</f>
        <v/>
      </c>
      <c r="F13" t="s">
        <v>436</v>
      </c>
      <c r="G13" t="s">
        <v>444</v>
      </c>
      <c r="H13" s="2">
        <f t="shared" ca="1" si="1"/>
        <v>46234</v>
      </c>
      <c r="I13" s="2">
        <v>46245</v>
      </c>
      <c r="J13" t="str">
        <f>_xlfn.LET(
_xlpm.AddressStatus,IFERROR(_xlfn.XLOOKUP(A13,tblCIP[Customer ID],tblCIP[Address Verified]),""),
_xlpm.SOWStatus,IFERROR(_xlfn.XLOOKUP(A13,tblScreening[Customer ID],tblScreening[Source of Wealth Obtained]),""),
IF(
AND(_xlpm.AddressStatus="Yes",_xlpm.SOWStatus="Yes"),
"None",
_xlfn.TEXTJOIN("; ",TRUE,
IF(_xlpm.AddressStatus="No","Proof of Address",""),
IF(_xlpm.SOWStatus="No","Source of Wealth","")
)
)
)</f>
        <v>None</v>
      </c>
      <c r="L13" t="s">
        <v>437</v>
      </c>
      <c r="M13" t="str">
        <f t="shared" si="0"/>
        <v>Approved</v>
      </c>
      <c r="N13" t="str" cm="1">
        <f t="array" ref="N13">_xlfn.IFS(
M13="Approved","Open Account",
M13="Rejected","Do Not Onboard",
M13="Escalated","Pending Review",
TRUE,"Awaiting Decision"
)</f>
        <v>Open Account</v>
      </c>
      <c r="O13" t="str" cm="1">
        <f t="array" ref="O13">_xlfn.IFS(
N13="Open Account","Customer approved and account opened.",
M13="Approved","Approved by MLRO. Awaiting account activation.",
M13="Rejected","Customer rejected after compliance review.",
M13="Escalated","Escalated for enhanced due diligence.",
G13="Awaiting Customer","Awaiting additional customer documentation.",
G13="In Progress","Compliance review currently in progress.",
G13="Completed","Compliance review completed. Awaiting MLRO decision.",
TRUE,"Case created and pending analyst review."
)</f>
        <v>Customer approved and account opened.</v>
      </c>
    </row>
    <row r="14" spans="1:15" x14ac:dyDescent="0.25">
      <c r="A14" t="s">
        <v>65</v>
      </c>
      <c r="B14" t="str">
        <f>IFERROR(
_xlfn.XLOOKUP(
A14,
tblCustomers[Customer ID],
tblCustomers[Full Name]
),
""
)</f>
        <v>Michael Suleiman</v>
      </c>
      <c r="C14" t="str">
        <f>IFERROR(
_xlfn.XLOOKUP(
A14,
RiskMatrix[Customer ID],
RiskMatrix[Risk Rating]
),
""
)</f>
        <v>Low</v>
      </c>
      <c r="D14" t="str">
        <f>IFERROR(
_xlfn.XLOOKUP(
A14,
RiskMatrix[Customer ID],
RiskMatrix[Due Diligence Tier]
),
""
)</f>
        <v>SDD</v>
      </c>
      <c r="E14" t="str">
        <f>IFERROR(
_xlfn.XLOOKUP(
A14,
RiskMatrix[Customer ID],#REF!
),
""
)</f>
        <v/>
      </c>
      <c r="F14" t="s">
        <v>436</v>
      </c>
      <c r="G14" t="s">
        <v>444</v>
      </c>
      <c r="H14" s="2">
        <f t="shared" ca="1" si="1"/>
        <v>46234</v>
      </c>
      <c r="I14" s="2">
        <v>46246</v>
      </c>
      <c r="J14" t="str">
        <f>_xlfn.LET(
_xlpm.AddressStatus,IFERROR(_xlfn.XLOOKUP(A14,tblCIP[Customer ID],tblCIP[Address Verified]),""),
_xlpm.SOWStatus,IFERROR(_xlfn.XLOOKUP(A14,tblScreening[Customer ID],tblScreening[Source of Wealth Obtained]),""),
IF(
AND(_xlpm.AddressStatus="Yes",_xlpm.SOWStatus="Yes"),
"None",
_xlfn.TEXTJOIN("; ",TRUE,
IF(_xlpm.AddressStatus="No","Proof of Address",""),
IF(_xlpm.SOWStatus="No","Source of Wealth","")
)
)
)</f>
        <v>None</v>
      </c>
      <c r="L14" t="s">
        <v>437</v>
      </c>
      <c r="M14" t="str">
        <f t="shared" si="0"/>
        <v>Approved</v>
      </c>
      <c r="N14" t="str" cm="1">
        <f t="array" ref="N14">_xlfn.IFS(
M14="Approved","Open Account",
M14="Rejected","Do Not Onboard",
M14="Escalated","Pending Review",
TRUE,"Awaiting Decision"
)</f>
        <v>Open Account</v>
      </c>
      <c r="O14" t="str" cm="1">
        <f t="array" ref="O14">_xlfn.IFS(
N14="Open Account","Customer approved and account opened.",
M14="Approved","Approved by MLRO. Awaiting account activation.",
M14="Rejected","Customer rejected after compliance review.",
M14="Escalated","Escalated for enhanced due diligence.",
G14="Awaiting Customer","Awaiting additional customer documentation.",
G14="In Progress","Compliance review currently in progress.",
G14="Completed","Compliance review completed. Awaiting MLRO decision.",
TRUE,"Case created and pending analyst review."
)</f>
        <v>Customer approved and account opened.</v>
      </c>
    </row>
    <row r="15" spans="1:15" x14ac:dyDescent="0.25">
      <c r="A15" t="s">
        <v>67</v>
      </c>
      <c r="B15" t="str">
        <f>IFERROR(
_xlfn.XLOOKUP(
A15,
tblCustomers[Customer ID],
tblCustomers[Full Name]
),
""
)</f>
        <v>David Williams</v>
      </c>
      <c r="C15" t="str">
        <f>IFERROR(
_xlfn.XLOOKUP(
A15,
RiskMatrix[Customer ID],
RiskMatrix[Risk Rating]
),
""
)</f>
        <v>Low</v>
      </c>
      <c r="D15" t="str">
        <f>IFERROR(
_xlfn.XLOOKUP(
A15,
RiskMatrix[Customer ID],
RiskMatrix[Due Diligence Tier]
),
""
)</f>
        <v>SDD</v>
      </c>
      <c r="E15" t="str">
        <f>IFERROR(
_xlfn.XLOOKUP(
A15,
RiskMatrix[Customer ID],#REF!
),
""
)</f>
        <v/>
      </c>
      <c r="F15" t="s">
        <v>436</v>
      </c>
      <c r="G15" t="s">
        <v>444</v>
      </c>
      <c r="H15" s="2">
        <f t="shared" ca="1" si="1"/>
        <v>46234</v>
      </c>
      <c r="I15" s="2">
        <v>46247</v>
      </c>
      <c r="J15" t="str">
        <f>_xlfn.LET(
_xlpm.AddressStatus,IFERROR(_xlfn.XLOOKUP(A15,tblCIP[Customer ID],tblCIP[Address Verified]),""),
_xlpm.SOWStatus,IFERROR(_xlfn.XLOOKUP(A15,tblScreening[Customer ID],tblScreening[Source of Wealth Obtained]),""),
IF(
AND(_xlpm.AddressStatus="Yes",_xlpm.SOWStatus="Yes"),
"None",
_xlfn.TEXTJOIN("; ",TRUE,
IF(_xlpm.AddressStatus="No","Proof of Address",""),
IF(_xlpm.SOWStatus="No","Source of Wealth","")
)
)
)</f>
        <v>None</v>
      </c>
      <c r="L15" t="s">
        <v>437</v>
      </c>
      <c r="M15" t="str">
        <f t="shared" si="0"/>
        <v>Approved</v>
      </c>
      <c r="N15" t="str" cm="1">
        <f t="array" ref="N15">_xlfn.IFS(
M15="Approved","Open Account",
M15="Rejected","Do Not Onboard",
M15="Escalated","Pending Review",
TRUE,"Awaiting Decision"
)</f>
        <v>Open Account</v>
      </c>
      <c r="O15" t="str" cm="1">
        <f t="array" ref="O15">_xlfn.IFS(
N15="Open Account","Customer approved and account opened.",
M15="Approved","Approved by MLRO. Awaiting account activation.",
M15="Rejected","Customer rejected after compliance review.",
M15="Escalated","Escalated for enhanced due diligence.",
G15="Awaiting Customer","Awaiting additional customer documentation.",
G15="In Progress","Compliance review currently in progress.",
G15="Completed","Compliance review completed. Awaiting MLRO decision.",
TRUE,"Case created and pending analyst review."
)</f>
        <v>Customer approved and account opened.</v>
      </c>
    </row>
    <row r="16" spans="1:15" x14ac:dyDescent="0.25">
      <c r="A16" t="s">
        <v>70</v>
      </c>
      <c r="B16" t="str">
        <f>IFERROR(
_xlfn.XLOOKUP(
A16,
tblCustomers[Customer ID],
tblCustomers[Full Name]
),
""
)</f>
        <v>Fatima Ali</v>
      </c>
      <c r="C16" t="str">
        <f>IFERROR(
_xlfn.XLOOKUP(
A16,
RiskMatrix[Customer ID],
RiskMatrix[Risk Rating]
),
""
)</f>
        <v>Medium</v>
      </c>
      <c r="D16" t="str">
        <f>IFERROR(
_xlfn.XLOOKUP(
A16,
RiskMatrix[Customer ID],
RiskMatrix[Due Diligence Tier]
),
""
)</f>
        <v>CDD</v>
      </c>
      <c r="E16" t="str">
        <f>IFERROR(
_xlfn.XLOOKUP(
A16,
RiskMatrix[Customer ID],#REF!
),
""
)</f>
        <v/>
      </c>
      <c r="F16" t="s">
        <v>436</v>
      </c>
      <c r="G16" t="s">
        <v>444</v>
      </c>
      <c r="H16" s="2">
        <f t="shared" ca="1" si="1"/>
        <v>46234</v>
      </c>
      <c r="I16" s="2">
        <v>46248</v>
      </c>
      <c r="J16" t="str">
        <f>_xlfn.LET(
_xlpm.AddressStatus,IFERROR(_xlfn.XLOOKUP(A16,tblCIP[Customer ID],tblCIP[Address Verified]),""),
_xlpm.SOWStatus,IFERROR(_xlfn.XLOOKUP(A16,tblScreening[Customer ID],tblScreening[Source of Wealth Obtained]),""),
IF(
AND(_xlpm.AddressStatus="Yes",_xlpm.SOWStatus="Yes"),
"None",
_xlfn.TEXTJOIN("; ",TRUE,
IF(_xlpm.AddressStatus="No","Proof of Address",""),
IF(_xlpm.SOWStatus="No","Source of Wealth","")
)
)
)</f>
        <v>None</v>
      </c>
      <c r="L16" t="s">
        <v>437</v>
      </c>
      <c r="M16" t="str">
        <f t="shared" si="0"/>
        <v>Approved</v>
      </c>
      <c r="N16" t="str" cm="1">
        <f t="array" ref="N16">_xlfn.IFS(
M16="Approved","Open Account",
M16="Rejected","Do Not Onboard",
M16="Escalated","Pending Review",
TRUE,"Awaiting Decision"
)</f>
        <v>Open Account</v>
      </c>
      <c r="O16" t="str" cm="1">
        <f t="array" ref="O16">_xlfn.IFS(
N16="Open Account","Customer approved and account opened.",
M16="Approved","Approved by MLRO. Awaiting account activation.",
M16="Rejected","Customer rejected after compliance review.",
M16="Escalated","Escalated for enhanced due diligence.",
G16="Awaiting Customer","Awaiting additional customer documentation.",
G16="In Progress","Compliance review currently in progress.",
G16="Completed","Compliance review completed. Awaiting MLRO decision.",
TRUE,"Case created and pending analyst review."
)</f>
        <v>Customer approved and account opened.</v>
      </c>
    </row>
    <row r="17" spans="1:15" x14ac:dyDescent="0.25">
      <c r="A17" t="s">
        <v>73</v>
      </c>
      <c r="B17" t="str">
        <f>IFERROR(
_xlfn.XLOOKUP(
A17,
tblCustomers[Customer ID],
tblCustomers[Full Name]
),
""
)</f>
        <v>Peter Bello</v>
      </c>
      <c r="C17" t="str">
        <f>IFERROR(
_xlfn.XLOOKUP(
A17,
RiskMatrix[Customer ID],
RiskMatrix[Risk Rating]
),
""
)</f>
        <v>Medium</v>
      </c>
      <c r="D17" t="str">
        <f>IFERROR(
_xlfn.XLOOKUP(
A17,
RiskMatrix[Customer ID],
RiskMatrix[Due Diligence Tier]
),
""
)</f>
        <v>CDD</v>
      </c>
      <c r="E17" t="str">
        <f>IFERROR(
_xlfn.XLOOKUP(
A17,
RiskMatrix[Customer ID],#REF!
),
""
)</f>
        <v/>
      </c>
      <c r="F17" t="s">
        <v>436</v>
      </c>
      <c r="G17" t="s">
        <v>444</v>
      </c>
      <c r="H17" s="2">
        <f t="shared" ca="1" si="1"/>
        <v>46234</v>
      </c>
      <c r="I17" s="2">
        <v>46249</v>
      </c>
      <c r="J17" t="str">
        <f>_xlfn.LET(
_xlpm.AddressStatus,IFERROR(_xlfn.XLOOKUP(A17,tblCIP[Customer ID],tblCIP[Address Verified]),""),
_xlpm.SOWStatus,IFERROR(_xlfn.XLOOKUP(A17,tblScreening[Customer ID],tblScreening[Source of Wealth Obtained]),""),
IF(
AND(_xlpm.AddressStatus="Yes",_xlpm.SOWStatus="Yes"),
"None",
_xlfn.TEXTJOIN("; ",TRUE,
IF(_xlpm.AddressStatus="No","Proof of Address",""),
IF(_xlpm.SOWStatus="No","Source of Wealth","")
)
)
)</f>
        <v>None</v>
      </c>
      <c r="L17" t="s">
        <v>437</v>
      </c>
      <c r="M17" t="str">
        <f t="shared" si="0"/>
        <v>Approved</v>
      </c>
      <c r="N17" t="str" cm="1">
        <f t="array" ref="N17">_xlfn.IFS(
M17="Approved","Open Account",
M17="Rejected","Do Not Onboard",
M17="Escalated","Pending Review",
TRUE,"Awaiting Decision"
)</f>
        <v>Open Account</v>
      </c>
      <c r="O17" t="str" cm="1">
        <f t="array" ref="O17">_xlfn.IFS(
N17="Open Account","Customer approved and account opened.",
M17="Approved","Approved by MLRO. Awaiting account activation.",
M17="Rejected","Customer rejected after compliance review.",
M17="Escalated","Escalated for enhanced due diligence.",
G17="Awaiting Customer","Awaiting additional customer documentation.",
G17="In Progress","Compliance review currently in progress.",
G17="Completed","Compliance review completed. Awaiting MLRO decision.",
TRUE,"Case created and pending analyst review."
)</f>
        <v>Customer approved and account opened.</v>
      </c>
    </row>
    <row r="18" spans="1:15" x14ac:dyDescent="0.25">
      <c r="A18" t="s">
        <v>76</v>
      </c>
      <c r="B18" t="str">
        <f>IFERROR(
_xlfn.XLOOKUP(
A18,
tblCustomers[Customer ID],
tblCustomers[Full Name]
),
""
)</f>
        <v>Emeka Bello</v>
      </c>
      <c r="C18" t="str">
        <f>IFERROR(
_xlfn.XLOOKUP(
A18,
RiskMatrix[Customer ID],
RiskMatrix[Risk Rating]
),
""
)</f>
        <v>Medium</v>
      </c>
      <c r="D18" t="str">
        <f>IFERROR(
_xlfn.XLOOKUP(
A18,
RiskMatrix[Customer ID],
RiskMatrix[Due Diligence Tier]
),
""
)</f>
        <v>CDD</v>
      </c>
      <c r="E18" t="str">
        <f>IFERROR(
_xlfn.XLOOKUP(
A18,
RiskMatrix[Customer ID],#REF!
),
""
)</f>
        <v/>
      </c>
      <c r="F18" t="s">
        <v>436</v>
      </c>
      <c r="G18" t="s">
        <v>444</v>
      </c>
      <c r="H18" s="2">
        <f t="shared" ca="1" si="1"/>
        <v>46234</v>
      </c>
      <c r="I18" s="2">
        <v>46250</v>
      </c>
      <c r="J18" t="str">
        <f>_xlfn.LET(
_xlpm.AddressStatus,IFERROR(_xlfn.XLOOKUP(A18,tblCIP[Customer ID],tblCIP[Address Verified]),""),
_xlpm.SOWStatus,IFERROR(_xlfn.XLOOKUP(A18,tblScreening[Customer ID],tblScreening[Source of Wealth Obtained]),""),
IF(
AND(_xlpm.AddressStatus="Yes",_xlpm.SOWStatus="Yes"),
"None",
_xlfn.TEXTJOIN("; ",TRUE,
IF(_xlpm.AddressStatus="No","Proof of Address",""),
IF(_xlpm.SOWStatus="No","Source of Wealth","")
)
)
)</f>
        <v>None</v>
      </c>
      <c r="L18" t="s">
        <v>437</v>
      </c>
      <c r="M18" t="str">
        <f t="shared" si="0"/>
        <v>Approved</v>
      </c>
      <c r="N18" t="str" cm="1">
        <f t="array" ref="N18">_xlfn.IFS(
M18="Approved","Open Account",
M18="Rejected","Do Not Onboard",
M18="Escalated","Pending Review",
TRUE,"Awaiting Decision"
)</f>
        <v>Open Account</v>
      </c>
      <c r="O18" t="str" cm="1">
        <f t="array" ref="O18">_xlfn.IFS(
N18="Open Account","Customer approved and account opened.",
M18="Approved","Approved by MLRO. Awaiting account activation.",
M18="Rejected","Customer rejected after compliance review.",
M18="Escalated","Escalated for enhanced due diligence.",
G18="Awaiting Customer","Awaiting additional customer documentation.",
G18="In Progress","Compliance review currently in progress.",
G18="Completed","Compliance review completed. Awaiting MLRO decision.",
TRUE,"Case created and pending analyst review."
)</f>
        <v>Customer approved and account opened.</v>
      </c>
    </row>
    <row r="19" spans="1:15" x14ac:dyDescent="0.25">
      <c r="A19" t="s">
        <v>78</v>
      </c>
      <c r="B19" t="str">
        <f>IFERROR(
_xlfn.XLOOKUP(
A19,
tblCustomers[Customer ID],
tblCustomers[Full Name]
),
""
)</f>
        <v>Zainab Brown</v>
      </c>
      <c r="C19" t="str">
        <f>IFERROR(
_xlfn.XLOOKUP(
A19,
RiskMatrix[Customer ID],
RiskMatrix[Risk Rating]
),
""
)</f>
        <v>Low</v>
      </c>
      <c r="D19" t="str">
        <f>IFERROR(
_xlfn.XLOOKUP(
A19,
RiskMatrix[Customer ID],
RiskMatrix[Due Diligence Tier]
),
""
)</f>
        <v>EDD</v>
      </c>
      <c r="E19" t="str">
        <f>IFERROR(
_xlfn.XLOOKUP(
A19,
RiskMatrix[Customer ID],#REF!
),
""
)</f>
        <v/>
      </c>
      <c r="F19" t="s">
        <v>436</v>
      </c>
      <c r="G19" t="s">
        <v>444</v>
      </c>
      <c r="H19" s="2">
        <f t="shared" ca="1" si="1"/>
        <v>46234</v>
      </c>
      <c r="I19" s="2">
        <v>46251</v>
      </c>
      <c r="J19" t="str">
        <f>_xlfn.LET(
_xlpm.AddressStatus,IFERROR(_xlfn.XLOOKUP(A19,tblCIP[Customer ID],tblCIP[Address Verified]),""),
_xlpm.SOWStatus,IFERROR(_xlfn.XLOOKUP(A19,tblScreening[Customer ID],tblScreening[Source of Wealth Obtained]),""),
IF(
AND(_xlpm.AddressStatus="Yes",_xlpm.SOWStatus="Yes"),
"None",
_xlfn.TEXTJOIN("; ",TRUE,
IF(_xlpm.AddressStatus="No","Proof of Address",""),
IF(_xlpm.SOWStatus="No","Source of Wealth","")
)
)
)</f>
        <v>Source of Wealth</v>
      </c>
      <c r="L19" t="s">
        <v>438</v>
      </c>
      <c r="M19" t="str">
        <f t="shared" si="0"/>
        <v>Escalated</v>
      </c>
      <c r="N19" t="str" cm="1">
        <f t="array" ref="N19">_xlfn.IFS(
M19="Approved","Open Account",
M19="Rejected","Do Not Onboard",
M19="Escalated","Pending Review",
TRUE,"Awaiting Decision"
)</f>
        <v>Pending Review</v>
      </c>
      <c r="O19" t="str" cm="1">
        <f t="array" ref="O19">_xlfn.IFS(
N19="Open Account","Customer approved and account opened.",
M19="Approved","Approved by MLRO. Awaiting account activation.",
M19="Rejected","Customer rejected after compliance review.",
M19="Escalated","Escalated for enhanced due diligence.",
G19="Awaiting Customer","Awaiting additional customer documentation.",
G19="In Progress","Compliance review currently in progress.",
G19="Completed","Compliance review completed. Awaiting MLRO decision.",
TRUE,"Case created and pending analyst review."
)</f>
        <v>Escalated for enhanced due diligence.</v>
      </c>
    </row>
    <row r="20" spans="1:15" x14ac:dyDescent="0.25">
      <c r="A20" t="s">
        <v>80</v>
      </c>
      <c r="B20" t="str">
        <f>IFERROR(
_xlfn.XLOOKUP(
A20,
tblCustomers[Customer ID],
tblCustomers[Full Name]
),
""
)</f>
        <v>Zainab Adeyemi</v>
      </c>
      <c r="C20" t="str">
        <f>IFERROR(
_xlfn.XLOOKUP(
A20,
RiskMatrix[Customer ID],
RiskMatrix[Risk Rating]
),
""
)</f>
        <v>Medium</v>
      </c>
      <c r="D20" t="str">
        <f>IFERROR(
_xlfn.XLOOKUP(
A20,
RiskMatrix[Customer ID],
RiskMatrix[Due Diligence Tier]
),
""
)</f>
        <v>CDD</v>
      </c>
      <c r="E20" t="str">
        <f>IFERROR(
_xlfn.XLOOKUP(
A20,
RiskMatrix[Customer ID],#REF!
),
""
)</f>
        <v/>
      </c>
      <c r="F20" t="s">
        <v>436</v>
      </c>
      <c r="G20" t="s">
        <v>444</v>
      </c>
      <c r="H20" s="2">
        <f t="shared" ca="1" si="1"/>
        <v>46234</v>
      </c>
      <c r="I20" s="2">
        <v>46252</v>
      </c>
      <c r="J20" t="str">
        <f>_xlfn.LET(
_xlpm.AddressStatus,IFERROR(_xlfn.XLOOKUP(A20,tblCIP[Customer ID],tblCIP[Address Verified]),""),
_xlpm.SOWStatus,IFERROR(_xlfn.XLOOKUP(A20,tblScreening[Customer ID],tblScreening[Source of Wealth Obtained]),""),
IF(
AND(_xlpm.AddressStatus="Yes",_xlpm.SOWStatus="Yes"),
"None",
_xlfn.TEXTJOIN("; ",TRUE,
IF(_xlpm.AddressStatus="No","Proof of Address",""),
IF(_xlpm.SOWStatus="No","Source of Wealth","")
)
)
)</f>
        <v>None</v>
      </c>
      <c r="L20" t="s">
        <v>437</v>
      </c>
      <c r="M20" t="str">
        <f t="shared" si="0"/>
        <v>Approved</v>
      </c>
      <c r="N20" t="str" cm="1">
        <f t="array" ref="N20">_xlfn.IFS(
M20="Approved","Open Account",
M20="Rejected","Do Not Onboard",
M20="Escalated","Pending Review",
TRUE,"Awaiting Decision"
)</f>
        <v>Open Account</v>
      </c>
      <c r="O20" t="str" cm="1">
        <f t="array" ref="O20">_xlfn.IFS(
N20="Open Account","Customer approved and account opened.",
M20="Approved","Approved by MLRO. Awaiting account activation.",
M20="Rejected","Customer rejected after compliance review.",
M20="Escalated","Escalated for enhanced due diligence.",
G20="Awaiting Customer","Awaiting additional customer documentation.",
G20="In Progress","Compliance review currently in progress.",
G20="Completed","Compliance review completed. Awaiting MLRO decision.",
TRUE,"Case created and pending analyst review."
)</f>
        <v>Customer approved and account opened.</v>
      </c>
    </row>
    <row r="21" spans="1:15" x14ac:dyDescent="0.25">
      <c r="A21" t="s">
        <v>83</v>
      </c>
      <c r="B21" t="str">
        <f>IFERROR(
_xlfn.XLOOKUP(
A21,
tblCustomers[Customer ID],
tblCustomers[Full Name]
),
""
)</f>
        <v>Amina Mensah</v>
      </c>
      <c r="C21" t="str">
        <f>IFERROR(
_xlfn.XLOOKUP(
A21,
RiskMatrix[Customer ID],
RiskMatrix[Risk Rating]
),
""
)</f>
        <v>Medium</v>
      </c>
      <c r="D21" t="str">
        <f>IFERROR(
_xlfn.XLOOKUP(
A21,
RiskMatrix[Customer ID],
RiskMatrix[Due Diligence Tier]
),
""
)</f>
        <v>CDD</v>
      </c>
      <c r="E21" t="str">
        <f>IFERROR(
_xlfn.XLOOKUP(
A21,
RiskMatrix[Customer ID],#REF!
),
""
)</f>
        <v/>
      </c>
      <c r="F21" t="s">
        <v>436</v>
      </c>
      <c r="G21" t="s">
        <v>444</v>
      </c>
      <c r="H21" s="2">
        <f t="shared" ca="1" si="1"/>
        <v>46234</v>
      </c>
      <c r="I21" s="2">
        <v>46253</v>
      </c>
      <c r="J21" t="str">
        <f>_xlfn.LET(
_xlpm.AddressStatus,IFERROR(_xlfn.XLOOKUP(A21,tblCIP[Customer ID],tblCIP[Address Verified]),""),
_xlpm.SOWStatus,IFERROR(_xlfn.XLOOKUP(A21,tblScreening[Customer ID],tblScreening[Source of Wealth Obtained]),""),
IF(
AND(_xlpm.AddressStatus="Yes",_xlpm.SOWStatus="Yes"),
"None",
_xlfn.TEXTJOIN("; ",TRUE,
IF(_xlpm.AddressStatus="No","Proof of Address",""),
IF(_xlpm.SOWStatus="No","Source of Wealth","")
)
)
)</f>
        <v>None</v>
      </c>
      <c r="L21" t="s">
        <v>437</v>
      </c>
      <c r="M21" t="str">
        <f t="shared" si="0"/>
        <v>Approved</v>
      </c>
      <c r="N21" t="str" cm="1">
        <f t="array" ref="N21">_xlfn.IFS(
M21="Approved","Open Account",
M21="Rejected","Do Not Onboard",
M21="Escalated","Pending Review",
TRUE,"Awaiting Decision"
)</f>
        <v>Open Account</v>
      </c>
      <c r="O21" t="str" cm="1">
        <f t="array" ref="O21">_xlfn.IFS(
N21="Open Account","Customer approved and account opened.",
M21="Approved","Approved by MLRO. Awaiting account activation.",
M21="Rejected","Customer rejected after compliance review.",
M21="Escalated","Escalated for enhanced due diligence.",
G21="Awaiting Customer","Awaiting additional customer documentation.",
G21="In Progress","Compliance review currently in progress.",
G21="Completed","Compliance review completed. Awaiting MLRO decision.",
TRUE,"Case created and pending analyst review."
)</f>
        <v>Customer approved and account opened.</v>
      </c>
    </row>
    <row r="22" spans="1:15" x14ac:dyDescent="0.25">
      <c r="A22" t="s">
        <v>85</v>
      </c>
      <c r="B22" t="str">
        <f>IFERROR(
_xlfn.XLOOKUP(
A22,
tblCustomers[Customer ID],
tblCustomers[Full Name]
),
""
)</f>
        <v>Halima Garba</v>
      </c>
      <c r="C22" t="str">
        <f>IFERROR(
_xlfn.XLOOKUP(
A22,
RiskMatrix[Customer ID],
RiskMatrix[Risk Rating]
),
""
)</f>
        <v>Low</v>
      </c>
      <c r="D22" t="str">
        <f>IFERROR(
_xlfn.XLOOKUP(
A22,
RiskMatrix[Customer ID],
RiskMatrix[Due Diligence Tier]
),
""
)</f>
        <v>SDD</v>
      </c>
      <c r="E22" t="str">
        <f>IFERROR(
_xlfn.XLOOKUP(
A22,
RiskMatrix[Customer ID],#REF!
),
""
)</f>
        <v/>
      </c>
      <c r="F22" t="s">
        <v>436</v>
      </c>
      <c r="G22" t="s">
        <v>444</v>
      </c>
      <c r="H22" s="2">
        <f t="shared" ca="1" si="1"/>
        <v>46234</v>
      </c>
      <c r="I22" s="2">
        <v>46254</v>
      </c>
      <c r="J22" t="str">
        <f>_xlfn.LET(
_xlpm.AddressStatus,IFERROR(_xlfn.XLOOKUP(A22,tblCIP[Customer ID],tblCIP[Address Verified]),""),
_xlpm.SOWStatus,IFERROR(_xlfn.XLOOKUP(A22,tblScreening[Customer ID],tblScreening[Source of Wealth Obtained]),""),
IF(
AND(_xlpm.AddressStatus="Yes",_xlpm.SOWStatus="Yes"),
"None",
_xlfn.TEXTJOIN("; ",TRUE,
IF(_xlpm.AddressStatus="No","Proof of Address",""),
IF(_xlpm.SOWStatus="No","Source of Wealth","")
)
)
)</f>
        <v>None</v>
      </c>
      <c r="L22" t="s">
        <v>437</v>
      </c>
      <c r="M22" t="str">
        <f t="shared" si="0"/>
        <v>Approved</v>
      </c>
      <c r="N22" t="str" cm="1">
        <f t="array" ref="N22">_xlfn.IFS(
M22="Approved","Open Account",
M22="Rejected","Do Not Onboard",
M22="Escalated","Pending Review",
TRUE,"Awaiting Decision"
)</f>
        <v>Open Account</v>
      </c>
      <c r="O22" t="str" cm="1">
        <f t="array" ref="O22">_xlfn.IFS(
N22="Open Account","Customer approved and account opened.",
M22="Approved","Approved by MLRO. Awaiting account activation.",
M22="Rejected","Customer rejected after compliance review.",
M22="Escalated","Escalated for enhanced due diligence.",
G22="Awaiting Customer","Awaiting additional customer documentation.",
G22="In Progress","Compliance review currently in progress.",
G22="Completed","Compliance review completed. Awaiting MLRO decision.",
TRUE,"Case created and pending analyst review."
)</f>
        <v>Customer approved and account opened.</v>
      </c>
    </row>
    <row r="23" spans="1:15" x14ac:dyDescent="0.25">
      <c r="A23" t="s">
        <v>87</v>
      </c>
      <c r="B23" t="str">
        <f>IFERROR(
_xlfn.XLOOKUP(
A23,
tblCustomers[Customer ID],
tblCustomers[Full Name]
),
""
)</f>
        <v>Ahmed Adebayo</v>
      </c>
      <c r="C23" t="str">
        <f>IFERROR(
_xlfn.XLOOKUP(
A23,
RiskMatrix[Customer ID],
RiskMatrix[Risk Rating]
),
""
)</f>
        <v>Medium</v>
      </c>
      <c r="D23" t="str">
        <f>IFERROR(
_xlfn.XLOOKUP(
A23,
RiskMatrix[Customer ID],
RiskMatrix[Due Diligence Tier]
),
""
)</f>
        <v>EDD</v>
      </c>
      <c r="E23" t="str">
        <f>IFERROR(
_xlfn.XLOOKUP(
A23,
RiskMatrix[Customer ID],#REF!
),
""
)</f>
        <v/>
      </c>
      <c r="F23" t="s">
        <v>436</v>
      </c>
      <c r="G23" t="s">
        <v>444</v>
      </c>
      <c r="H23" s="2">
        <f t="shared" ca="1" si="1"/>
        <v>46234</v>
      </c>
      <c r="I23" s="2">
        <v>46255</v>
      </c>
      <c r="J23" t="str">
        <f>_xlfn.LET(
_xlpm.AddressStatus,IFERROR(_xlfn.XLOOKUP(A23,tblCIP[Customer ID],tblCIP[Address Verified]),""),
_xlpm.SOWStatus,IFERROR(_xlfn.XLOOKUP(A23,tblScreening[Customer ID],tblScreening[Source of Wealth Obtained]),""),
IF(
AND(_xlpm.AddressStatus="Yes",_xlpm.SOWStatus="Yes"),
"None",
_xlfn.TEXTJOIN("; ",TRUE,
IF(_xlpm.AddressStatus="No","Proof of Address",""),
IF(_xlpm.SOWStatus="No","Source of Wealth","")
)
)
)</f>
        <v>None</v>
      </c>
      <c r="L23" t="s">
        <v>438</v>
      </c>
      <c r="M23" t="str">
        <f t="shared" si="0"/>
        <v>Escalated</v>
      </c>
      <c r="N23" t="str" cm="1">
        <f t="array" ref="N23">_xlfn.IFS(
M23="Approved","Open Account",
M23="Rejected","Do Not Onboard",
M23="Escalated","Pending Review",
TRUE,"Awaiting Decision"
)</f>
        <v>Pending Review</v>
      </c>
      <c r="O23" t="str" cm="1">
        <f t="array" ref="O23">_xlfn.IFS(
N23="Open Account","Customer approved and account opened.",
M23="Approved","Approved by MLRO. Awaiting account activation.",
M23="Rejected","Customer rejected after compliance review.",
M23="Escalated","Escalated for enhanced due diligence.",
G23="Awaiting Customer","Awaiting additional customer documentation.",
G23="In Progress","Compliance review currently in progress.",
G23="Completed","Compliance review completed. Awaiting MLRO decision.",
TRUE,"Case created and pending analyst review."
)</f>
        <v>Escalated for enhanced due diligence.</v>
      </c>
    </row>
    <row r="24" spans="1:15" x14ac:dyDescent="0.25">
      <c r="A24" t="s">
        <v>89</v>
      </c>
      <c r="B24" t="str">
        <f>IFERROR(
_xlfn.XLOOKUP(
A24,
tblCustomers[Customer ID],
tblCustomers[Full Name]
),
""
)</f>
        <v>Fatima Mensah</v>
      </c>
      <c r="C24" t="str">
        <f>IFERROR(
_xlfn.XLOOKUP(
A24,
RiskMatrix[Customer ID],
RiskMatrix[Risk Rating]
),
""
)</f>
        <v>Low</v>
      </c>
      <c r="D24" t="str">
        <f>IFERROR(
_xlfn.XLOOKUP(
A24,
RiskMatrix[Customer ID],
RiskMatrix[Due Diligence Tier]
),
""
)</f>
        <v>EDD</v>
      </c>
      <c r="E24" t="str">
        <f>IFERROR(
_xlfn.XLOOKUP(
A24,
RiskMatrix[Customer ID],#REF!
),
""
)</f>
        <v/>
      </c>
      <c r="F24" t="s">
        <v>436</v>
      </c>
      <c r="G24" t="s">
        <v>444</v>
      </c>
      <c r="H24" s="2">
        <f t="shared" ca="1" si="1"/>
        <v>46234</v>
      </c>
      <c r="I24" s="2">
        <v>46256</v>
      </c>
      <c r="J24" t="str">
        <f>_xlfn.LET(
_xlpm.AddressStatus,IFERROR(_xlfn.XLOOKUP(A24,tblCIP[Customer ID],tblCIP[Address Verified]),""),
_xlpm.SOWStatus,IFERROR(_xlfn.XLOOKUP(A24,tblScreening[Customer ID],tblScreening[Source of Wealth Obtained]),""),
IF(
AND(_xlpm.AddressStatus="Yes",_xlpm.SOWStatus="Yes"),
"None",
_xlfn.TEXTJOIN("; ",TRUE,
IF(_xlpm.AddressStatus="No","Proof of Address",""),
IF(_xlpm.SOWStatus="No","Source of Wealth","")
)
)
)</f>
        <v>Source of Wealth</v>
      </c>
      <c r="L24" t="s">
        <v>438</v>
      </c>
      <c r="M24" t="str">
        <f t="shared" si="0"/>
        <v>Escalated</v>
      </c>
      <c r="N24" t="str" cm="1">
        <f t="array" ref="N24">_xlfn.IFS(
M24="Approved","Open Account",
M24="Rejected","Do Not Onboard",
M24="Escalated","Pending Review",
TRUE,"Awaiting Decision"
)</f>
        <v>Pending Review</v>
      </c>
      <c r="O24" t="str" cm="1">
        <f t="array" ref="O24">_xlfn.IFS(
N24="Open Account","Customer approved and account opened.",
M24="Approved","Approved by MLRO. Awaiting account activation.",
M24="Rejected","Customer rejected after compliance review.",
M24="Escalated","Escalated for enhanced due diligence.",
G24="Awaiting Customer","Awaiting additional customer documentation.",
G24="In Progress","Compliance review currently in progress.",
G24="Completed","Compliance review completed. Awaiting MLRO decision.",
TRUE,"Case created and pending analyst review."
)</f>
        <v>Escalated for enhanced due diligence.</v>
      </c>
    </row>
    <row r="25" spans="1:15" x14ac:dyDescent="0.25">
      <c r="A25" t="s">
        <v>91</v>
      </c>
      <c r="B25" t="str">
        <f>IFERROR(
_xlfn.XLOOKUP(
A25,
tblCustomers[Customer ID],
tblCustomers[Full Name]
),
""
)</f>
        <v>Peter Clark</v>
      </c>
      <c r="C25" t="str">
        <f>IFERROR(
_xlfn.XLOOKUP(
A25,
RiskMatrix[Customer ID],
RiskMatrix[Risk Rating]
),
""
)</f>
        <v>Medium</v>
      </c>
      <c r="D25" t="str">
        <f>IFERROR(
_xlfn.XLOOKUP(
A25,
RiskMatrix[Customer ID],
RiskMatrix[Due Diligence Tier]
),
""
)</f>
        <v>CDD</v>
      </c>
      <c r="E25" t="str">
        <f>IFERROR(
_xlfn.XLOOKUP(
A25,
RiskMatrix[Customer ID],#REF!
),
""
)</f>
        <v/>
      </c>
      <c r="F25" t="s">
        <v>436</v>
      </c>
      <c r="G25" t="s">
        <v>444</v>
      </c>
      <c r="H25" s="2">
        <f t="shared" ca="1" si="1"/>
        <v>46234</v>
      </c>
      <c r="I25" s="2">
        <v>46257</v>
      </c>
      <c r="J25" t="str">
        <f>_xlfn.LET(
_xlpm.AddressStatus,IFERROR(_xlfn.XLOOKUP(A25,tblCIP[Customer ID],tblCIP[Address Verified]),""),
_xlpm.SOWStatus,IFERROR(_xlfn.XLOOKUP(A25,tblScreening[Customer ID],tblScreening[Source of Wealth Obtained]),""),
IF(
AND(_xlpm.AddressStatus="Yes",_xlpm.SOWStatus="Yes"),
"None",
_xlfn.TEXTJOIN("; ",TRUE,
IF(_xlpm.AddressStatus="No","Proof of Address",""),
IF(_xlpm.SOWStatus="No","Source of Wealth","")
)
)
)</f>
        <v>None</v>
      </c>
      <c r="L25" t="s">
        <v>437</v>
      </c>
      <c r="M25" t="str">
        <f t="shared" si="0"/>
        <v>Approved</v>
      </c>
      <c r="N25" t="str" cm="1">
        <f t="array" ref="N25">_xlfn.IFS(
M25="Approved","Open Account",
M25="Rejected","Do Not Onboard",
M25="Escalated","Pending Review",
TRUE,"Awaiting Decision"
)</f>
        <v>Open Account</v>
      </c>
      <c r="O25" t="str" cm="1">
        <f t="array" ref="O25">_xlfn.IFS(
N25="Open Account","Customer approved and account opened.",
M25="Approved","Approved by MLRO. Awaiting account activation.",
M25="Rejected","Customer rejected after compliance review.",
M25="Escalated","Escalated for enhanced due diligence.",
G25="Awaiting Customer","Awaiting additional customer documentation.",
G25="In Progress","Compliance review currently in progress.",
G25="Completed","Compliance review completed. Awaiting MLRO decision.",
TRUE,"Case created and pending analyst review."
)</f>
        <v>Customer approved and account opened.</v>
      </c>
    </row>
    <row r="26" spans="1:15" x14ac:dyDescent="0.25">
      <c r="A26" t="s">
        <v>94</v>
      </c>
      <c r="B26" t="str">
        <f>IFERROR(
_xlfn.XLOOKUP(
A26,
tblCustomers[Customer ID],
tblCustomers[Full Name]
),
""
)</f>
        <v>Chioma Adebayo</v>
      </c>
      <c r="C26" t="str">
        <f>IFERROR(
_xlfn.XLOOKUP(
A26,
RiskMatrix[Customer ID],
RiskMatrix[Risk Rating]
),
""
)</f>
        <v>Medium</v>
      </c>
      <c r="D26" t="str">
        <f>IFERROR(
_xlfn.XLOOKUP(
A26,
RiskMatrix[Customer ID],
RiskMatrix[Due Diligence Tier]
),
""
)</f>
        <v>CDD</v>
      </c>
      <c r="E26" t="str">
        <f>IFERROR(
_xlfn.XLOOKUP(
A26,
RiskMatrix[Customer ID],#REF!
),
""
)</f>
        <v/>
      </c>
      <c r="F26" t="s">
        <v>436</v>
      </c>
      <c r="G26" t="s">
        <v>444</v>
      </c>
      <c r="H26" s="2">
        <f t="shared" ca="1" si="1"/>
        <v>46234</v>
      </c>
      <c r="I26" s="2">
        <v>46258</v>
      </c>
      <c r="J26" t="str">
        <f>_xlfn.LET(
_xlpm.AddressStatus,IFERROR(_xlfn.XLOOKUP(A26,tblCIP[Customer ID],tblCIP[Address Verified]),""),
_xlpm.SOWStatus,IFERROR(_xlfn.XLOOKUP(A26,tblScreening[Customer ID],tblScreening[Source of Wealth Obtained]),""),
IF(
AND(_xlpm.AddressStatus="Yes",_xlpm.SOWStatus="Yes"),
"None",
_xlfn.TEXTJOIN("; ",TRUE,
IF(_xlpm.AddressStatus="No","Proof of Address",""),
IF(_xlpm.SOWStatus="No","Source of Wealth","")
)
)
)</f>
        <v>None</v>
      </c>
      <c r="L26" t="s">
        <v>437</v>
      </c>
      <c r="M26" t="str">
        <f t="shared" si="0"/>
        <v>Approved</v>
      </c>
      <c r="N26" t="str" cm="1">
        <f t="array" ref="N26">_xlfn.IFS(
M26="Approved","Open Account",
M26="Rejected","Do Not Onboard",
M26="Escalated","Pending Review",
TRUE,"Awaiting Decision"
)</f>
        <v>Open Account</v>
      </c>
      <c r="O26" t="str" cm="1">
        <f t="array" ref="O26">_xlfn.IFS(
N26="Open Account","Customer approved and account opened.",
M26="Approved","Approved by MLRO. Awaiting account activation.",
M26="Rejected","Customer rejected after compliance review.",
M26="Escalated","Escalated for enhanced due diligence.",
G26="Awaiting Customer","Awaiting additional customer documentation.",
G26="In Progress","Compliance review currently in progress.",
G26="Completed","Compliance review completed. Awaiting MLRO decision.",
TRUE,"Case created and pending analyst review."
)</f>
        <v>Customer approved and account opened.</v>
      </c>
    </row>
    <row r="27" spans="1:15" x14ac:dyDescent="0.25">
      <c r="A27" t="s">
        <v>96</v>
      </c>
      <c r="B27" t="str">
        <f>IFERROR(
_xlfn.XLOOKUP(
A27,
tblCustomers[Customer ID],
tblCustomers[Full Name]
),
""
)</f>
        <v>Zainab Williams</v>
      </c>
      <c r="C27" t="str">
        <f>IFERROR(
_xlfn.XLOOKUP(
A27,
RiskMatrix[Customer ID],
RiskMatrix[Risk Rating]
),
""
)</f>
        <v>Low</v>
      </c>
      <c r="D27" t="str">
        <f>IFERROR(
_xlfn.XLOOKUP(
A27,
RiskMatrix[Customer ID],
RiskMatrix[Due Diligence Tier]
),
""
)</f>
        <v>SDD</v>
      </c>
      <c r="E27" t="str">
        <f>IFERROR(
_xlfn.XLOOKUP(
A27,
RiskMatrix[Customer ID],#REF!
),
""
)</f>
        <v/>
      </c>
      <c r="F27" t="s">
        <v>436</v>
      </c>
      <c r="G27" t="s">
        <v>444</v>
      </c>
      <c r="H27" s="2">
        <f t="shared" ca="1" si="1"/>
        <v>46234</v>
      </c>
      <c r="I27" s="2">
        <v>46259</v>
      </c>
      <c r="J27" t="str">
        <f>_xlfn.LET(
_xlpm.AddressStatus,IFERROR(_xlfn.XLOOKUP(A27,tblCIP[Customer ID],tblCIP[Address Verified]),""),
_xlpm.SOWStatus,IFERROR(_xlfn.XLOOKUP(A27,tblScreening[Customer ID],tblScreening[Source of Wealth Obtained]),""),
IF(
AND(_xlpm.AddressStatus="Yes",_xlpm.SOWStatus="Yes"),
"None",
_xlfn.TEXTJOIN("; ",TRUE,
IF(_xlpm.AddressStatus="No","Proof of Address",""),
IF(_xlpm.SOWStatus="No","Source of Wealth","")
)
)
)</f>
        <v>None</v>
      </c>
      <c r="L27" t="s">
        <v>437</v>
      </c>
      <c r="M27" t="str">
        <f t="shared" si="0"/>
        <v>Approved</v>
      </c>
      <c r="N27" t="str" cm="1">
        <f t="array" ref="N27">_xlfn.IFS(
M27="Approved","Open Account",
M27="Rejected","Do Not Onboard",
M27="Escalated","Pending Review",
TRUE,"Awaiting Decision"
)</f>
        <v>Open Account</v>
      </c>
      <c r="O27" t="str" cm="1">
        <f t="array" ref="O27">_xlfn.IFS(
N27="Open Account","Customer approved and account opened.",
M27="Approved","Approved by MLRO. Awaiting account activation.",
M27="Rejected","Customer rejected after compliance review.",
M27="Escalated","Escalated for enhanced due diligence.",
G27="Awaiting Customer","Awaiting additional customer documentation.",
G27="In Progress","Compliance review currently in progress.",
G27="Completed","Compliance review completed. Awaiting MLRO decision.",
TRUE,"Case created and pending analyst review."
)</f>
        <v>Customer approved and account opened.</v>
      </c>
    </row>
    <row r="28" spans="1:15" x14ac:dyDescent="0.25">
      <c r="A28" t="s">
        <v>97</v>
      </c>
      <c r="B28" t="str">
        <f>IFERROR(
_xlfn.XLOOKUP(
A28,
tblCustomers[Customer ID],
tblCustomers[Full Name]
),
""
)</f>
        <v>Ruth Clark</v>
      </c>
      <c r="C28" t="str">
        <f>IFERROR(
_xlfn.XLOOKUP(
A28,
RiskMatrix[Customer ID],
RiskMatrix[Risk Rating]
),
""
)</f>
        <v>Medium</v>
      </c>
      <c r="D28" t="str">
        <f>IFERROR(
_xlfn.XLOOKUP(
A28,
RiskMatrix[Customer ID],
RiskMatrix[Due Diligence Tier]
),
""
)</f>
        <v>CDD</v>
      </c>
      <c r="E28" t="str">
        <f>IFERROR(
_xlfn.XLOOKUP(
A28,
RiskMatrix[Customer ID],#REF!
),
""
)</f>
        <v/>
      </c>
      <c r="F28" t="s">
        <v>436</v>
      </c>
      <c r="G28" t="s">
        <v>444</v>
      </c>
      <c r="H28" s="2">
        <f t="shared" ca="1" si="1"/>
        <v>46234</v>
      </c>
      <c r="I28" s="2">
        <v>46260</v>
      </c>
      <c r="J28" t="str">
        <f>_xlfn.LET(
_xlpm.AddressStatus,IFERROR(_xlfn.XLOOKUP(A28,tblCIP[Customer ID],tblCIP[Address Verified]),""),
_xlpm.SOWStatus,IFERROR(_xlfn.XLOOKUP(A28,tblScreening[Customer ID],tblScreening[Source of Wealth Obtained]),""),
IF(
AND(_xlpm.AddressStatus="Yes",_xlpm.SOWStatus="Yes"),
"None",
_xlfn.TEXTJOIN("; ",TRUE,
IF(_xlpm.AddressStatus="No","Proof of Address",""),
IF(_xlpm.SOWStatus="No","Source of Wealth","")
)
)
)</f>
        <v>None</v>
      </c>
      <c r="L28" t="s">
        <v>437</v>
      </c>
      <c r="M28" t="str">
        <f t="shared" si="0"/>
        <v>Approved</v>
      </c>
      <c r="N28" t="str" cm="1">
        <f t="array" ref="N28">_xlfn.IFS(
M28="Approved","Open Account",
M28="Rejected","Do Not Onboard",
M28="Escalated","Pending Review",
TRUE,"Awaiting Decision"
)</f>
        <v>Open Account</v>
      </c>
      <c r="O28" t="str" cm="1">
        <f t="array" ref="O28">_xlfn.IFS(
N28="Open Account","Customer approved and account opened.",
M28="Approved","Approved by MLRO. Awaiting account activation.",
M28="Rejected","Customer rejected after compliance review.",
M28="Escalated","Escalated for enhanced due diligence.",
G28="Awaiting Customer","Awaiting additional customer documentation.",
G28="In Progress","Compliance review currently in progress.",
G28="Completed","Compliance review completed. Awaiting MLRO decision.",
TRUE,"Case created and pending analyst review."
)</f>
        <v>Customer approved and account opened.</v>
      </c>
    </row>
    <row r="29" spans="1:15" x14ac:dyDescent="0.25">
      <c r="A29" t="s">
        <v>99</v>
      </c>
      <c r="B29" t="str">
        <f>IFERROR(
_xlfn.XLOOKUP(
A29,
tblCustomers[Customer ID],
tblCustomers[Full Name]
),
""
)</f>
        <v>Grace Clark</v>
      </c>
      <c r="C29" t="str">
        <f>IFERROR(
_xlfn.XLOOKUP(
A29,
RiskMatrix[Customer ID],
RiskMatrix[Risk Rating]
),
""
)</f>
        <v>Low</v>
      </c>
      <c r="D29" t="str">
        <f>IFERROR(
_xlfn.XLOOKUP(
A29,
RiskMatrix[Customer ID],
RiskMatrix[Due Diligence Tier]
),
""
)</f>
        <v>SDD</v>
      </c>
      <c r="E29" t="str">
        <f>IFERROR(
_xlfn.XLOOKUP(
A29,
RiskMatrix[Customer ID],#REF!
),
""
)</f>
        <v/>
      </c>
      <c r="F29" t="s">
        <v>436</v>
      </c>
      <c r="G29" t="s">
        <v>444</v>
      </c>
      <c r="H29" s="2">
        <f t="shared" ca="1" si="1"/>
        <v>46234</v>
      </c>
      <c r="I29" s="2">
        <v>46261</v>
      </c>
      <c r="J29" t="str">
        <f>_xlfn.LET(
_xlpm.AddressStatus,IFERROR(_xlfn.XLOOKUP(A29,tblCIP[Customer ID],tblCIP[Address Verified]),""),
_xlpm.SOWStatus,IFERROR(_xlfn.XLOOKUP(A29,tblScreening[Customer ID],tblScreening[Source of Wealth Obtained]),""),
IF(
AND(_xlpm.AddressStatus="Yes",_xlpm.SOWStatus="Yes"),
"None",
_xlfn.TEXTJOIN("; ",TRUE,
IF(_xlpm.AddressStatus="No","Proof of Address",""),
IF(_xlpm.SOWStatus="No","Source of Wealth","")
)
)
)</f>
        <v>None</v>
      </c>
      <c r="L29" t="s">
        <v>437</v>
      </c>
      <c r="M29" t="str">
        <f t="shared" si="0"/>
        <v>Approved</v>
      </c>
      <c r="N29" t="str" cm="1">
        <f t="array" ref="N29">_xlfn.IFS(
M29="Approved","Open Account",
M29="Rejected","Do Not Onboard",
M29="Escalated","Pending Review",
TRUE,"Awaiting Decision"
)</f>
        <v>Open Account</v>
      </c>
      <c r="O29" t="str" cm="1">
        <f t="array" ref="O29">_xlfn.IFS(
N29="Open Account","Customer approved and account opened.",
M29="Approved","Approved by MLRO. Awaiting account activation.",
M29="Rejected","Customer rejected after compliance review.",
M29="Escalated","Escalated for enhanced due diligence.",
G29="Awaiting Customer","Awaiting additional customer documentation.",
G29="In Progress","Compliance review currently in progress.",
G29="Completed","Compliance review completed. Awaiting MLRO decision.",
TRUE,"Case created and pending analyst review."
)</f>
        <v>Customer approved and account opened.</v>
      </c>
    </row>
    <row r="30" spans="1:15" x14ac:dyDescent="0.25">
      <c r="A30" t="s">
        <v>101</v>
      </c>
      <c r="B30" t="str">
        <f>IFERROR(
_xlfn.XLOOKUP(
A30,
tblCustomers[Customer ID],
tblCustomers[Full Name]
),
""
)</f>
        <v>Precious Mohammed</v>
      </c>
      <c r="C30" t="str">
        <f>IFERROR(
_xlfn.XLOOKUP(
A30,
RiskMatrix[Customer ID],
RiskMatrix[Risk Rating]
),
""
)</f>
        <v>Low</v>
      </c>
      <c r="D30" t="str">
        <f>IFERROR(
_xlfn.XLOOKUP(
A30,
RiskMatrix[Customer ID],
RiskMatrix[Due Diligence Tier]
),
""
)</f>
        <v>SDD</v>
      </c>
      <c r="E30" t="str">
        <f>IFERROR(
_xlfn.XLOOKUP(
A30,
RiskMatrix[Customer ID],#REF!
),
""
)</f>
        <v/>
      </c>
      <c r="F30" t="s">
        <v>436</v>
      </c>
      <c r="G30" t="s">
        <v>444</v>
      </c>
      <c r="H30" s="2">
        <f t="shared" ca="1" si="1"/>
        <v>46234</v>
      </c>
      <c r="I30" s="2">
        <v>46262</v>
      </c>
      <c r="J30" t="str">
        <f>_xlfn.LET(
_xlpm.AddressStatus,IFERROR(_xlfn.XLOOKUP(A30,tblCIP[Customer ID],tblCIP[Address Verified]),""),
_xlpm.SOWStatus,IFERROR(_xlfn.XLOOKUP(A30,tblScreening[Customer ID],tblScreening[Source of Wealth Obtained]),""),
IF(
AND(_xlpm.AddressStatus="Yes",_xlpm.SOWStatus="Yes"),
"None",
_xlfn.TEXTJOIN("; ",TRUE,
IF(_xlpm.AddressStatus="No","Proof of Address",""),
IF(_xlpm.SOWStatus="No","Source of Wealth","")
)
)
)</f>
        <v>None</v>
      </c>
      <c r="L30" t="s">
        <v>437</v>
      </c>
      <c r="M30" t="str">
        <f t="shared" si="0"/>
        <v>Approved</v>
      </c>
      <c r="N30" t="str" cm="1">
        <f t="array" ref="N30">_xlfn.IFS(
M30="Approved","Open Account",
M30="Rejected","Do Not Onboard",
M30="Escalated","Pending Review",
TRUE,"Awaiting Decision"
)</f>
        <v>Open Account</v>
      </c>
      <c r="O30" t="str" cm="1">
        <f t="array" ref="O30">_xlfn.IFS(
N30="Open Account","Customer approved and account opened.",
M30="Approved","Approved by MLRO. Awaiting account activation.",
M30="Rejected","Customer rejected after compliance review.",
M30="Escalated","Escalated for enhanced due diligence.",
G30="Awaiting Customer","Awaiting additional customer documentation.",
G30="In Progress","Compliance review currently in progress.",
G30="Completed","Compliance review completed. Awaiting MLRO decision.",
TRUE,"Case created and pending analyst review."
)</f>
        <v>Customer approved and account opened.</v>
      </c>
    </row>
    <row r="31" spans="1:15" x14ac:dyDescent="0.25">
      <c r="A31" t="s">
        <v>103</v>
      </c>
      <c r="B31" t="str">
        <f>IFERROR(
_xlfn.XLOOKUP(
A31,
tblCustomers[Customer ID],
tblCustomers[Full Name]
),
""
)</f>
        <v>Precious Smith</v>
      </c>
      <c r="C31" t="str">
        <f>IFERROR(
_xlfn.XLOOKUP(
A31,
RiskMatrix[Customer ID],
RiskMatrix[Risk Rating]
),
""
)</f>
        <v>Medium</v>
      </c>
      <c r="D31" t="str">
        <f>IFERROR(
_xlfn.XLOOKUP(
A31,
RiskMatrix[Customer ID],
RiskMatrix[Due Diligence Tier]
),
""
)</f>
        <v>EDD</v>
      </c>
      <c r="E31" t="str">
        <f>IFERROR(
_xlfn.XLOOKUP(
A31,
RiskMatrix[Customer ID],#REF!
),
""
)</f>
        <v/>
      </c>
      <c r="F31" t="s">
        <v>436</v>
      </c>
      <c r="G31" t="s">
        <v>444</v>
      </c>
      <c r="H31" s="2">
        <f t="shared" ca="1" si="1"/>
        <v>46234</v>
      </c>
      <c r="I31" s="2">
        <v>46263</v>
      </c>
      <c r="J31" t="str">
        <f>_xlfn.LET(
_xlpm.AddressStatus,IFERROR(_xlfn.XLOOKUP(A31,tblCIP[Customer ID],tblCIP[Address Verified]),""),
_xlpm.SOWStatus,IFERROR(_xlfn.XLOOKUP(A31,tblScreening[Customer ID],tblScreening[Source of Wealth Obtained]),""),
IF(
AND(_xlpm.AddressStatus="Yes",_xlpm.SOWStatus="Yes"),
"None",
_xlfn.TEXTJOIN("; ",TRUE,
IF(_xlpm.AddressStatus="No","Proof of Address",""),
IF(_xlpm.SOWStatus="No","Source of Wealth","")
)
)
)</f>
        <v>Source of Wealth</v>
      </c>
      <c r="L31" t="s">
        <v>438</v>
      </c>
      <c r="M31" t="str">
        <f t="shared" si="0"/>
        <v>Escalated</v>
      </c>
      <c r="N31" t="str" cm="1">
        <f t="array" ref="N31">_xlfn.IFS(
M31="Approved","Open Account",
M31="Rejected","Do Not Onboard",
M31="Escalated","Pending Review",
TRUE,"Awaiting Decision"
)</f>
        <v>Pending Review</v>
      </c>
      <c r="O31" t="str" cm="1">
        <f t="array" ref="O31">_xlfn.IFS(
N31="Open Account","Customer approved and account opened.",
M31="Approved","Approved by MLRO. Awaiting account activation.",
M31="Rejected","Customer rejected after compliance review.",
M31="Escalated","Escalated for enhanced due diligence.",
G31="Awaiting Customer","Awaiting additional customer documentation.",
G31="In Progress","Compliance review currently in progress.",
G31="Completed","Compliance review completed. Awaiting MLRO decision.",
TRUE,"Case created and pending analyst review."
)</f>
        <v>Escalated for enhanced due diligence.</v>
      </c>
    </row>
    <row r="32" spans="1:15" x14ac:dyDescent="0.25">
      <c r="A32" t="s">
        <v>106</v>
      </c>
      <c r="B32" t="str">
        <f>IFERROR(
_xlfn.XLOOKUP(
A32,
tblCustomers[Customer ID],
tblCustomers[Full Name]
),
""
)</f>
        <v>Grace Garba</v>
      </c>
      <c r="C32" t="str">
        <f>IFERROR(
_xlfn.XLOOKUP(
A32,
RiskMatrix[Customer ID],
RiskMatrix[Risk Rating]
),
""
)</f>
        <v>Low</v>
      </c>
      <c r="D32" t="str">
        <f>IFERROR(
_xlfn.XLOOKUP(
A32,
RiskMatrix[Customer ID],
RiskMatrix[Due Diligence Tier]
),
""
)</f>
        <v>SDD</v>
      </c>
      <c r="E32" t="str">
        <f>IFERROR(
_xlfn.XLOOKUP(
A32,
RiskMatrix[Customer ID],#REF!
),
""
)</f>
        <v/>
      </c>
      <c r="F32" t="s">
        <v>436</v>
      </c>
      <c r="G32" t="s">
        <v>444</v>
      </c>
      <c r="H32" s="2">
        <f t="shared" ca="1" si="1"/>
        <v>46234</v>
      </c>
      <c r="I32" s="2">
        <v>46264</v>
      </c>
      <c r="J32" t="str">
        <f>_xlfn.LET(
_xlpm.AddressStatus,IFERROR(_xlfn.XLOOKUP(A32,tblCIP[Customer ID],tblCIP[Address Verified]),""),
_xlpm.SOWStatus,IFERROR(_xlfn.XLOOKUP(A32,tblScreening[Customer ID],tblScreening[Source of Wealth Obtained]),""),
IF(
AND(_xlpm.AddressStatus="Yes",_xlpm.SOWStatus="Yes"),
"None",
_xlfn.TEXTJOIN("; ",TRUE,
IF(_xlpm.AddressStatus="No","Proof of Address",""),
IF(_xlpm.SOWStatus="No","Source of Wealth","")
)
)
)</f>
        <v>None</v>
      </c>
      <c r="L32" t="s">
        <v>437</v>
      </c>
      <c r="M32" t="str">
        <f t="shared" si="0"/>
        <v>Approved</v>
      </c>
      <c r="N32" t="str" cm="1">
        <f t="array" ref="N32">_xlfn.IFS(
M32="Approved","Open Account",
M32="Rejected","Do Not Onboard",
M32="Escalated","Pending Review",
TRUE,"Awaiting Decision"
)</f>
        <v>Open Account</v>
      </c>
      <c r="O32" t="str" cm="1">
        <f t="array" ref="O32">_xlfn.IFS(
N32="Open Account","Customer approved and account opened.",
M32="Approved","Approved by MLRO. Awaiting account activation.",
M32="Rejected","Customer rejected after compliance review.",
M32="Escalated","Escalated for enhanced due diligence.",
G32="Awaiting Customer","Awaiting additional customer documentation.",
G32="In Progress","Compliance review currently in progress.",
G32="Completed","Compliance review completed. Awaiting MLRO decision.",
TRUE,"Case created and pending analyst review."
)</f>
        <v>Customer approved and account opened.</v>
      </c>
    </row>
    <row r="33" spans="1:15" x14ac:dyDescent="0.25">
      <c r="A33" t="s">
        <v>108</v>
      </c>
      <c r="B33" t="str">
        <f>IFERROR(
_xlfn.XLOOKUP(
A33,
tblCustomers[Customer ID],
tblCustomers[Full Name]
),
""
)</f>
        <v>Emeka Garba</v>
      </c>
      <c r="C33" t="str">
        <f>IFERROR(
_xlfn.XLOOKUP(
A33,
RiskMatrix[Customer ID],
RiskMatrix[Risk Rating]
),
""
)</f>
        <v>Low</v>
      </c>
      <c r="D33" t="str">
        <f>IFERROR(
_xlfn.XLOOKUP(
A33,
RiskMatrix[Customer ID],
RiskMatrix[Due Diligence Tier]
),
""
)</f>
        <v>SDD</v>
      </c>
      <c r="E33" t="str">
        <f>IFERROR(
_xlfn.XLOOKUP(
A33,
RiskMatrix[Customer ID],#REF!
),
""
)</f>
        <v/>
      </c>
      <c r="F33" t="s">
        <v>436</v>
      </c>
      <c r="G33" t="s">
        <v>444</v>
      </c>
      <c r="H33" s="2">
        <f t="shared" ca="1" si="1"/>
        <v>46234</v>
      </c>
      <c r="I33" s="2">
        <v>46265</v>
      </c>
      <c r="J33" t="str">
        <f>_xlfn.LET(
_xlpm.AddressStatus,IFERROR(_xlfn.XLOOKUP(A33,tblCIP[Customer ID],tblCIP[Address Verified]),""),
_xlpm.SOWStatus,IFERROR(_xlfn.XLOOKUP(A33,tblScreening[Customer ID],tblScreening[Source of Wealth Obtained]),""),
IF(
AND(_xlpm.AddressStatus="Yes",_xlpm.SOWStatus="Yes"),
"None",
_xlfn.TEXTJOIN("; ",TRUE,
IF(_xlpm.AddressStatus="No","Proof of Address",""),
IF(_xlpm.SOWStatus="No","Source of Wealth","")
)
)
)</f>
        <v>None</v>
      </c>
      <c r="L33" t="s">
        <v>437</v>
      </c>
      <c r="M33" t="str">
        <f t="shared" si="0"/>
        <v>Approved</v>
      </c>
      <c r="N33" t="str" cm="1">
        <f t="array" ref="N33">_xlfn.IFS(
M33="Approved","Open Account",
M33="Rejected","Do Not Onboard",
M33="Escalated","Pending Review",
TRUE,"Awaiting Decision"
)</f>
        <v>Open Account</v>
      </c>
      <c r="O33" t="str" cm="1">
        <f t="array" ref="O33">_xlfn.IFS(
N33="Open Account","Customer approved and account opened.",
M33="Approved","Approved by MLRO. Awaiting account activation.",
M33="Rejected","Customer rejected after compliance review.",
M33="Escalated","Escalated for enhanced due diligence.",
G33="Awaiting Customer","Awaiting additional customer documentation.",
G33="In Progress","Compliance review currently in progress.",
G33="Completed","Compliance review completed. Awaiting MLRO decision.",
TRUE,"Case created and pending analyst review."
)</f>
        <v>Customer approved and account opened.</v>
      </c>
    </row>
    <row r="34" spans="1:15" x14ac:dyDescent="0.25">
      <c r="A34" t="s">
        <v>110</v>
      </c>
      <c r="B34" t="str">
        <f>IFERROR(
_xlfn.XLOOKUP(
A34,
tblCustomers[Customer ID],
tblCustomers[Full Name]
),
""
)</f>
        <v>Esther Okeke</v>
      </c>
      <c r="C34" t="str">
        <f>IFERROR(
_xlfn.XLOOKUP(
A34,
RiskMatrix[Customer ID],
RiskMatrix[Risk Rating]
),
""
)</f>
        <v>Medium</v>
      </c>
      <c r="D34" t="str">
        <f>IFERROR(
_xlfn.XLOOKUP(
A34,
RiskMatrix[Customer ID],
RiskMatrix[Due Diligence Tier]
),
""
)</f>
        <v>CDD</v>
      </c>
      <c r="E34" t="str">
        <f>IFERROR(
_xlfn.XLOOKUP(
A34,
RiskMatrix[Customer ID],#REF!
),
""
)</f>
        <v/>
      </c>
      <c r="F34" t="s">
        <v>436</v>
      </c>
      <c r="G34" t="s">
        <v>444</v>
      </c>
      <c r="H34" s="2">
        <f t="shared" ca="1" si="1"/>
        <v>46234</v>
      </c>
      <c r="I34" s="2">
        <v>46266</v>
      </c>
      <c r="J34" t="str">
        <f>_xlfn.LET(
_xlpm.AddressStatus,IFERROR(_xlfn.XLOOKUP(A34,tblCIP[Customer ID],tblCIP[Address Verified]),""),
_xlpm.SOWStatus,IFERROR(_xlfn.XLOOKUP(A34,tblScreening[Customer ID],tblScreening[Source of Wealth Obtained]),""),
IF(
AND(_xlpm.AddressStatus="Yes",_xlpm.SOWStatus="Yes"),
"None",
_xlfn.TEXTJOIN("; ",TRUE,
IF(_xlpm.AddressStatus="No","Proof of Address",""),
IF(_xlpm.SOWStatus="No","Source of Wealth","")
)
)
)</f>
        <v>None</v>
      </c>
      <c r="L34" t="s">
        <v>437</v>
      </c>
      <c r="M34" t="str">
        <f t="shared" si="0"/>
        <v>Approved</v>
      </c>
      <c r="N34" t="str" cm="1">
        <f t="array" ref="N34">_xlfn.IFS(
M34="Approved","Open Account",
M34="Rejected","Do Not Onboard",
M34="Escalated","Pending Review",
TRUE,"Awaiting Decision"
)</f>
        <v>Open Account</v>
      </c>
      <c r="O34" t="str" cm="1">
        <f t="array" ref="O34">_xlfn.IFS(
N34="Open Account","Customer approved and account opened.",
M34="Approved","Approved by MLRO. Awaiting account activation.",
M34="Rejected","Customer rejected after compliance review.",
M34="Escalated","Escalated for enhanced due diligence.",
G34="Awaiting Customer","Awaiting additional customer documentation.",
G34="In Progress","Compliance review currently in progress.",
G34="Completed","Compliance review completed. Awaiting MLRO decision.",
TRUE,"Case created and pending analyst review."
)</f>
        <v>Customer approved and account opened.</v>
      </c>
    </row>
    <row r="35" spans="1:15" x14ac:dyDescent="0.25">
      <c r="A35" t="s">
        <v>112</v>
      </c>
      <c r="B35" t="str">
        <f>IFERROR(
_xlfn.XLOOKUP(
A35,
tblCustomers[Customer ID],
tblCustomers[Full Name]
),
""
)</f>
        <v>Ruth Mohammed</v>
      </c>
      <c r="C35" t="str">
        <f>IFERROR(
_xlfn.XLOOKUP(
A35,
RiskMatrix[Customer ID],
RiskMatrix[Risk Rating]
),
""
)</f>
        <v>Low</v>
      </c>
      <c r="D35" t="str">
        <f>IFERROR(
_xlfn.XLOOKUP(
A35,
RiskMatrix[Customer ID],
RiskMatrix[Due Diligence Tier]
),
""
)</f>
        <v>SDD</v>
      </c>
      <c r="E35" t="str">
        <f>IFERROR(
_xlfn.XLOOKUP(
A35,
RiskMatrix[Customer ID],#REF!
),
""
)</f>
        <v/>
      </c>
      <c r="F35" t="s">
        <v>436</v>
      </c>
      <c r="G35" t="s">
        <v>444</v>
      </c>
      <c r="H35" s="2">
        <f t="shared" ca="1" si="1"/>
        <v>46234</v>
      </c>
      <c r="I35" s="2">
        <v>46267</v>
      </c>
      <c r="J35" t="str">
        <f>_xlfn.LET(
_xlpm.AddressStatus,IFERROR(_xlfn.XLOOKUP(A35,tblCIP[Customer ID],tblCIP[Address Verified]),""),
_xlpm.SOWStatus,IFERROR(_xlfn.XLOOKUP(A35,tblScreening[Customer ID],tblScreening[Source of Wealth Obtained]),""),
IF(
AND(_xlpm.AddressStatus="Yes",_xlpm.SOWStatus="Yes"),
"None",
_xlfn.TEXTJOIN("; ",TRUE,
IF(_xlpm.AddressStatus="No","Proof of Address",""),
IF(_xlpm.SOWStatus="No","Source of Wealth","")
)
)
)</f>
        <v>None</v>
      </c>
      <c r="L35" t="s">
        <v>437</v>
      </c>
      <c r="M35" t="str">
        <f t="shared" si="0"/>
        <v>Approved</v>
      </c>
      <c r="N35" t="str" cm="1">
        <f t="array" ref="N35">_xlfn.IFS(
M35="Approved","Open Account",
M35="Rejected","Do Not Onboard",
M35="Escalated","Pending Review",
TRUE,"Awaiting Decision"
)</f>
        <v>Open Account</v>
      </c>
      <c r="O35" t="str" cm="1">
        <f t="array" ref="O35">_xlfn.IFS(
N35="Open Account","Customer approved and account opened.",
M35="Approved","Approved by MLRO. Awaiting account activation.",
M35="Rejected","Customer rejected after compliance review.",
M35="Escalated","Escalated for enhanced due diligence.",
G35="Awaiting Customer","Awaiting additional customer documentation.",
G35="In Progress","Compliance review currently in progress.",
G35="Completed","Compliance review completed. Awaiting MLRO decision.",
TRUE,"Case created and pending analyst review."
)</f>
        <v>Customer approved and account opened.</v>
      </c>
    </row>
    <row r="36" spans="1:15" x14ac:dyDescent="0.25">
      <c r="A36" t="s">
        <v>114</v>
      </c>
      <c r="B36" t="str">
        <f>IFERROR(
_xlfn.XLOOKUP(
A36,
tblCustomers[Customer ID],
tblCustomers[Full Name]
),
""
)</f>
        <v>Amina Smith</v>
      </c>
      <c r="C36" t="str">
        <f>IFERROR(
_xlfn.XLOOKUP(
A36,
RiskMatrix[Customer ID],
RiskMatrix[Risk Rating]
),
""
)</f>
        <v>Medium</v>
      </c>
      <c r="D36" t="str">
        <f>IFERROR(
_xlfn.XLOOKUP(
A36,
RiskMatrix[Customer ID],
RiskMatrix[Due Diligence Tier]
),
""
)</f>
        <v>CDD</v>
      </c>
      <c r="E36" t="str">
        <f>IFERROR(
_xlfn.XLOOKUP(
A36,
RiskMatrix[Customer ID],#REF!
),
""
)</f>
        <v/>
      </c>
      <c r="F36" t="s">
        <v>436</v>
      </c>
      <c r="G36" t="s">
        <v>444</v>
      </c>
      <c r="H36" s="2">
        <f t="shared" ca="1" si="1"/>
        <v>46234</v>
      </c>
      <c r="I36" s="2">
        <v>46268</v>
      </c>
      <c r="J36" t="str">
        <f>_xlfn.LET(
_xlpm.AddressStatus,IFERROR(_xlfn.XLOOKUP(A36,tblCIP[Customer ID],tblCIP[Address Verified]),""),
_xlpm.SOWStatus,IFERROR(_xlfn.XLOOKUP(A36,tblScreening[Customer ID],tblScreening[Source of Wealth Obtained]),""),
IF(
AND(_xlpm.AddressStatus="Yes",_xlpm.SOWStatus="Yes"),
"None",
_xlfn.TEXTJOIN("; ",TRUE,
IF(_xlpm.AddressStatus="No","Proof of Address",""),
IF(_xlpm.SOWStatus="No","Source of Wealth","")
)
)
)</f>
        <v>None</v>
      </c>
      <c r="L36" t="s">
        <v>437</v>
      </c>
      <c r="M36" t="str">
        <f t="shared" si="0"/>
        <v>Approved</v>
      </c>
      <c r="N36" t="str" cm="1">
        <f t="array" ref="N36">_xlfn.IFS(
M36="Approved","Open Account",
M36="Rejected","Do Not Onboard",
M36="Escalated","Pending Review",
TRUE,"Awaiting Decision"
)</f>
        <v>Open Account</v>
      </c>
      <c r="O36" t="str" cm="1">
        <f t="array" ref="O36">_xlfn.IFS(
N36="Open Account","Customer approved and account opened.",
M36="Approved","Approved by MLRO. Awaiting account activation.",
M36="Rejected","Customer rejected after compliance review.",
M36="Escalated","Escalated for enhanced due diligence.",
G36="Awaiting Customer","Awaiting additional customer documentation.",
G36="In Progress","Compliance review currently in progress.",
G36="Completed","Compliance review completed. Awaiting MLRO decision.",
TRUE,"Case created and pending analyst review."
)</f>
        <v>Customer approved and account opened.</v>
      </c>
    </row>
    <row r="37" spans="1:15" x14ac:dyDescent="0.25">
      <c r="A37" t="s">
        <v>116</v>
      </c>
      <c r="B37" t="str">
        <f>IFERROR(
_xlfn.XLOOKUP(
A37,
tblCustomers[Customer ID],
tblCustomers[Full Name]
),
""
)</f>
        <v>Ibrahim Bello</v>
      </c>
      <c r="C37" t="str">
        <f>IFERROR(
_xlfn.XLOOKUP(
A37,
RiskMatrix[Customer ID],
RiskMatrix[Risk Rating]
),
""
)</f>
        <v>Medium</v>
      </c>
      <c r="D37" t="str">
        <f>IFERROR(
_xlfn.XLOOKUP(
A37,
RiskMatrix[Customer ID],
RiskMatrix[Due Diligence Tier]
),
""
)</f>
        <v>EDD</v>
      </c>
      <c r="E37" t="str">
        <f>IFERROR(
_xlfn.XLOOKUP(
A37,
RiskMatrix[Customer ID],#REF!
),
""
)</f>
        <v/>
      </c>
      <c r="F37" t="s">
        <v>436</v>
      </c>
      <c r="G37" t="s">
        <v>444</v>
      </c>
      <c r="H37" s="2">
        <f t="shared" ca="1" si="1"/>
        <v>46234</v>
      </c>
      <c r="I37" s="2">
        <v>46269</v>
      </c>
      <c r="J37" t="str">
        <f>_xlfn.LET(
_xlpm.AddressStatus,IFERROR(_xlfn.XLOOKUP(A37,tblCIP[Customer ID],tblCIP[Address Verified]),""),
_xlpm.SOWStatus,IFERROR(_xlfn.XLOOKUP(A37,tblScreening[Customer ID],tblScreening[Source of Wealth Obtained]),""),
IF(
AND(_xlpm.AddressStatus="Yes",_xlpm.SOWStatus="Yes"),
"None",
_xlfn.TEXTJOIN("; ",TRUE,
IF(_xlpm.AddressStatus="No","Proof of Address",""),
IF(_xlpm.SOWStatus="No","Source of Wealth","")
)
)
)</f>
        <v>Source of Wealth</v>
      </c>
      <c r="L37" t="s">
        <v>440</v>
      </c>
      <c r="M37" t="str">
        <f t="shared" si="0"/>
        <v>Rejected</v>
      </c>
      <c r="N37" t="str" cm="1">
        <f t="array" ref="N37">_xlfn.IFS(
M37="Approved","Open Account",
M37="Rejected","Do Not Onboard",
M37="Escalated","Pending Review",
TRUE,"Awaiting Decision"
)</f>
        <v>Do Not Onboard</v>
      </c>
      <c r="O37" t="str" cm="1">
        <f t="array" ref="O37">_xlfn.IFS(
N37="Open Account","Customer approved and account opened.",
M37="Approved","Approved by MLRO. Awaiting account activation.",
M37="Rejected","Customer rejected after compliance review.",
M37="Escalated","Escalated for enhanced due diligence.",
G37="Awaiting Customer","Awaiting additional customer documentation.",
G37="In Progress","Compliance review currently in progress.",
G37="Completed","Compliance review completed. Awaiting MLRO decision.",
TRUE,"Case created and pending analyst review."
)</f>
        <v>Customer rejected after compliance review.</v>
      </c>
    </row>
    <row r="38" spans="1:15" x14ac:dyDescent="0.25">
      <c r="A38" t="s">
        <v>118</v>
      </c>
      <c r="B38" t="str">
        <f>IFERROR(
_xlfn.XLOOKUP(
A38,
tblCustomers[Customer ID],
tblCustomers[Full Name]
),
""
)</f>
        <v>Chioma Johnson</v>
      </c>
      <c r="C38" t="str">
        <f>IFERROR(
_xlfn.XLOOKUP(
A38,
RiskMatrix[Customer ID],
RiskMatrix[Risk Rating]
),
""
)</f>
        <v>Medium</v>
      </c>
      <c r="D38" t="str">
        <f>IFERROR(
_xlfn.XLOOKUP(
A38,
RiskMatrix[Customer ID],
RiskMatrix[Due Diligence Tier]
),
""
)</f>
        <v>CDD</v>
      </c>
      <c r="E38" t="str">
        <f>IFERROR(
_xlfn.XLOOKUP(
A38,
RiskMatrix[Customer ID],#REF!
),
""
)</f>
        <v/>
      </c>
      <c r="F38" t="s">
        <v>436</v>
      </c>
      <c r="G38" t="s">
        <v>444</v>
      </c>
      <c r="H38" s="2">
        <f t="shared" ca="1" si="1"/>
        <v>46234</v>
      </c>
      <c r="I38" s="2">
        <v>46270</v>
      </c>
      <c r="J38" t="str">
        <f>_xlfn.LET(
_xlpm.AddressStatus,IFERROR(_xlfn.XLOOKUP(A38,tblCIP[Customer ID],tblCIP[Address Verified]),""),
_xlpm.SOWStatus,IFERROR(_xlfn.XLOOKUP(A38,tblScreening[Customer ID],tblScreening[Source of Wealth Obtained]),""),
IF(
AND(_xlpm.AddressStatus="Yes",_xlpm.SOWStatus="Yes"),
"None",
_xlfn.TEXTJOIN("; ",TRUE,
IF(_xlpm.AddressStatus="No","Proof of Address",""),
IF(_xlpm.SOWStatus="No","Source of Wealth","")
)
)
)</f>
        <v>None</v>
      </c>
      <c r="L38" t="s">
        <v>437</v>
      </c>
      <c r="M38" t="str">
        <f t="shared" si="0"/>
        <v>Approved</v>
      </c>
      <c r="N38" t="str" cm="1">
        <f t="array" ref="N38">_xlfn.IFS(
M38="Approved","Open Account",
M38="Rejected","Do Not Onboard",
M38="Escalated","Pending Review",
TRUE,"Awaiting Decision"
)</f>
        <v>Open Account</v>
      </c>
      <c r="O38" t="str" cm="1">
        <f t="array" ref="O38">_xlfn.IFS(
N38="Open Account","Customer approved and account opened.",
M38="Approved","Approved by MLRO. Awaiting account activation.",
M38="Rejected","Customer rejected after compliance review.",
M38="Escalated","Escalated for enhanced due diligence.",
G38="Awaiting Customer","Awaiting additional customer documentation.",
G38="In Progress","Compliance review currently in progress.",
G38="Completed","Compliance review completed. Awaiting MLRO decision.",
TRUE,"Case created and pending analyst review."
)</f>
        <v>Customer approved and account opened.</v>
      </c>
    </row>
    <row r="39" spans="1:15" x14ac:dyDescent="0.25">
      <c r="A39" t="s">
        <v>120</v>
      </c>
      <c r="B39" t="str">
        <f>IFERROR(
_xlfn.XLOOKUP(
A39,
tblCustomers[Customer ID],
tblCustomers[Full Name]
),
""
)</f>
        <v>James Garba</v>
      </c>
      <c r="C39" t="str">
        <f>IFERROR(
_xlfn.XLOOKUP(
A39,
RiskMatrix[Customer ID],
RiskMatrix[Risk Rating]
),
""
)</f>
        <v>High</v>
      </c>
      <c r="D39" t="str">
        <f>IFERROR(
_xlfn.XLOOKUP(
A39,
RiskMatrix[Customer ID],
RiskMatrix[Due Diligence Tier]
),
""
)</f>
        <v>EDD</v>
      </c>
      <c r="E39" t="str">
        <f>IFERROR(
_xlfn.XLOOKUP(
A39,
RiskMatrix[Customer ID],#REF!
),
""
)</f>
        <v/>
      </c>
      <c r="F39" t="s">
        <v>436</v>
      </c>
      <c r="G39" t="s">
        <v>444</v>
      </c>
      <c r="H39" s="2">
        <f t="shared" ca="1" si="1"/>
        <v>46234</v>
      </c>
      <c r="I39" s="2">
        <v>46271</v>
      </c>
      <c r="J39" t="str">
        <f>_xlfn.LET(
_xlpm.AddressStatus,IFERROR(_xlfn.XLOOKUP(A39,tblCIP[Customer ID],tblCIP[Address Verified]),""),
_xlpm.SOWStatus,IFERROR(_xlfn.XLOOKUP(A39,tblScreening[Customer ID],tblScreening[Source of Wealth Obtained]),""),
IF(
AND(_xlpm.AddressStatus="Yes",_xlpm.SOWStatus="Yes"),
"None",
_xlfn.TEXTJOIN("; ",TRUE,
IF(_xlpm.AddressStatus="No","Proof of Address",""),
IF(_xlpm.SOWStatus="No","Source of Wealth","")
)
)
)</f>
        <v>None</v>
      </c>
      <c r="L39" t="s">
        <v>440</v>
      </c>
      <c r="M39" t="str">
        <f t="shared" si="0"/>
        <v>Rejected</v>
      </c>
      <c r="N39" t="str" cm="1">
        <f t="array" ref="N39">_xlfn.IFS(
M39="Approved","Open Account",
M39="Rejected","Do Not Onboard",
M39="Escalated","Pending Review",
TRUE,"Awaiting Decision"
)</f>
        <v>Do Not Onboard</v>
      </c>
      <c r="O39" t="str" cm="1">
        <f t="array" ref="O39">_xlfn.IFS(
N39="Open Account","Customer approved and account opened.",
M39="Approved","Approved by MLRO. Awaiting account activation.",
M39="Rejected","Customer rejected after compliance review.",
M39="Escalated","Escalated for enhanced due diligence.",
G39="Awaiting Customer","Awaiting additional customer documentation.",
G39="In Progress","Compliance review currently in progress.",
G39="Completed","Compliance review completed. Awaiting MLRO decision.",
TRUE,"Case created and pending analyst review."
)</f>
        <v>Customer rejected after compliance review.</v>
      </c>
    </row>
    <row r="40" spans="1:15" x14ac:dyDescent="0.25">
      <c r="A40" t="s">
        <v>123</v>
      </c>
      <c r="B40" t="str">
        <f>IFERROR(
_xlfn.XLOOKUP(
A40,
tblCustomers[Customer ID],
tblCustomers[Full Name]
),
""
)</f>
        <v>Amina Musa</v>
      </c>
      <c r="C40" t="str">
        <f>IFERROR(
_xlfn.XLOOKUP(
A40,
RiskMatrix[Customer ID],
RiskMatrix[Risk Rating]
),
""
)</f>
        <v>Medium</v>
      </c>
      <c r="D40" t="str">
        <f>IFERROR(
_xlfn.XLOOKUP(
A40,
RiskMatrix[Customer ID],
RiskMatrix[Due Diligence Tier]
),
""
)</f>
        <v>CDD</v>
      </c>
      <c r="E40" t="str">
        <f>IFERROR(
_xlfn.XLOOKUP(
A40,
RiskMatrix[Customer ID],#REF!
),
""
)</f>
        <v/>
      </c>
      <c r="F40" t="s">
        <v>436</v>
      </c>
      <c r="G40" t="s">
        <v>444</v>
      </c>
      <c r="H40" s="2">
        <f t="shared" ca="1" si="1"/>
        <v>46234</v>
      </c>
      <c r="I40" s="2">
        <v>46272</v>
      </c>
      <c r="J40" t="str">
        <f>_xlfn.LET(
_xlpm.AddressStatus,IFERROR(_xlfn.XLOOKUP(A40,tblCIP[Customer ID],tblCIP[Address Verified]),""),
_xlpm.SOWStatus,IFERROR(_xlfn.XLOOKUP(A40,tblScreening[Customer ID],tblScreening[Source of Wealth Obtained]),""),
IF(
AND(_xlpm.AddressStatus="Yes",_xlpm.SOWStatus="Yes"),
"None",
_xlfn.TEXTJOIN("; ",TRUE,
IF(_xlpm.AddressStatus="No","Proof of Address",""),
IF(_xlpm.SOWStatus="No","Source of Wealth","")
)
)
)</f>
        <v>None</v>
      </c>
      <c r="L40" t="s">
        <v>437</v>
      </c>
      <c r="M40" t="str">
        <f t="shared" si="0"/>
        <v>Approved</v>
      </c>
      <c r="N40" t="str" cm="1">
        <f t="array" ref="N40">_xlfn.IFS(
M40="Approved","Open Account",
M40="Rejected","Do Not Onboard",
M40="Escalated","Pending Review",
TRUE,"Awaiting Decision"
)</f>
        <v>Open Account</v>
      </c>
      <c r="O40" t="str" cm="1">
        <f t="array" ref="O40">_xlfn.IFS(
N40="Open Account","Customer approved and account opened.",
M40="Approved","Approved by MLRO. Awaiting account activation.",
M40="Rejected","Customer rejected after compliance review.",
M40="Escalated","Escalated for enhanced due diligence.",
G40="Awaiting Customer","Awaiting additional customer documentation.",
G40="In Progress","Compliance review currently in progress.",
G40="Completed","Compliance review completed. Awaiting MLRO decision.",
TRUE,"Case created and pending analyst review."
)</f>
        <v>Customer approved and account opened.</v>
      </c>
    </row>
    <row r="41" spans="1:15" x14ac:dyDescent="0.25">
      <c r="A41" t="s">
        <v>125</v>
      </c>
      <c r="B41" t="str">
        <f>IFERROR(
_xlfn.XLOOKUP(
A41,
tblCustomers[Customer ID],
tblCustomers[Full Name]
),
""
)</f>
        <v>James Smith</v>
      </c>
      <c r="C41" t="str">
        <f>IFERROR(
_xlfn.XLOOKUP(
A41,
RiskMatrix[Customer ID],
RiskMatrix[Risk Rating]
),
""
)</f>
        <v>Medium</v>
      </c>
      <c r="D41" t="str">
        <f>IFERROR(
_xlfn.XLOOKUP(
A41,
RiskMatrix[Customer ID],
RiskMatrix[Due Diligence Tier]
),
""
)</f>
        <v>CDD</v>
      </c>
      <c r="E41" t="str">
        <f>IFERROR(
_xlfn.XLOOKUP(
A41,
RiskMatrix[Customer ID],#REF!
),
""
)</f>
        <v/>
      </c>
      <c r="F41" t="s">
        <v>436</v>
      </c>
      <c r="G41" t="s">
        <v>444</v>
      </c>
      <c r="H41" s="2">
        <f t="shared" ca="1" si="1"/>
        <v>46234</v>
      </c>
      <c r="I41" s="2">
        <v>46273</v>
      </c>
      <c r="J41" t="str">
        <f>_xlfn.LET(
_xlpm.AddressStatus,IFERROR(_xlfn.XLOOKUP(A41,tblCIP[Customer ID],tblCIP[Address Verified]),""),
_xlpm.SOWStatus,IFERROR(_xlfn.XLOOKUP(A41,tblScreening[Customer ID],tblScreening[Source of Wealth Obtained]),""),
IF(
AND(_xlpm.AddressStatus="Yes",_xlpm.SOWStatus="Yes"),
"None",
_xlfn.TEXTJOIN("; ",TRUE,
IF(_xlpm.AddressStatus="No","Proof of Address",""),
IF(_xlpm.SOWStatus="No","Source of Wealth","")
)
)
)</f>
        <v>None</v>
      </c>
      <c r="L41" t="s">
        <v>437</v>
      </c>
      <c r="M41" t="str">
        <f t="shared" si="0"/>
        <v>Approved</v>
      </c>
      <c r="N41" t="str" cm="1">
        <f t="array" ref="N41">_xlfn.IFS(
M41="Approved","Open Account",
M41="Rejected","Do Not Onboard",
M41="Escalated","Pending Review",
TRUE,"Awaiting Decision"
)</f>
        <v>Open Account</v>
      </c>
      <c r="O41" t="str" cm="1">
        <f t="array" ref="O41">_xlfn.IFS(
N41="Open Account","Customer approved and account opened.",
M41="Approved","Approved by MLRO. Awaiting account activation.",
M41="Rejected","Customer rejected after compliance review.",
M41="Escalated","Escalated for enhanced due diligence.",
G41="Awaiting Customer","Awaiting additional customer documentation.",
G41="In Progress","Compliance review currently in progress.",
G41="Completed","Compliance review completed. Awaiting MLRO decision.",
TRUE,"Case created and pending analyst review."
)</f>
        <v>Customer approved and account opened.</v>
      </c>
    </row>
    <row r="42" spans="1:15" x14ac:dyDescent="0.25">
      <c r="A42" t="s">
        <v>128</v>
      </c>
      <c r="B42" t="str">
        <f>IFERROR(
_xlfn.XLOOKUP(
A42,
tblCustomers[Customer ID],
tblCustomers[Full Name]
),
""
)</f>
        <v>Esther Eze</v>
      </c>
      <c r="C42" t="str">
        <f>IFERROR(
_xlfn.XLOOKUP(
A42,
RiskMatrix[Customer ID],
RiskMatrix[Risk Rating]
),
""
)</f>
        <v>Medium</v>
      </c>
      <c r="D42" t="str">
        <f>IFERROR(
_xlfn.XLOOKUP(
A42,
RiskMatrix[Customer ID],
RiskMatrix[Due Diligence Tier]
),
""
)</f>
        <v>EDD</v>
      </c>
      <c r="E42" t="str">
        <f>IFERROR(
_xlfn.XLOOKUP(
A42,
RiskMatrix[Customer ID],#REF!
),
""
)</f>
        <v/>
      </c>
      <c r="F42" t="s">
        <v>436</v>
      </c>
      <c r="G42" t="s">
        <v>444</v>
      </c>
      <c r="H42" s="2">
        <f t="shared" ca="1" si="1"/>
        <v>46234</v>
      </c>
      <c r="I42" s="2">
        <v>46274</v>
      </c>
      <c r="J42" t="str">
        <f>_xlfn.LET(
_xlpm.AddressStatus,IFERROR(_xlfn.XLOOKUP(A42,tblCIP[Customer ID],tblCIP[Address Verified]),""),
_xlpm.SOWStatus,IFERROR(_xlfn.XLOOKUP(A42,tblScreening[Customer ID],tblScreening[Source of Wealth Obtained]),""),
IF(
AND(_xlpm.AddressStatus="Yes",_xlpm.SOWStatus="Yes"),
"None",
_xlfn.TEXTJOIN("; ",TRUE,
IF(_xlpm.AddressStatus="No","Proof of Address",""),
IF(_xlpm.SOWStatus="No","Source of Wealth","")
)
)
)</f>
        <v>None</v>
      </c>
      <c r="L42" t="s">
        <v>441</v>
      </c>
      <c r="M42" t="str">
        <f t="shared" si="0"/>
        <v>Escalated</v>
      </c>
      <c r="N42" t="str" cm="1">
        <f t="array" ref="N42">_xlfn.IFS(
M42="Approved","Open Account",
M42="Rejected","Do Not Onboard",
M42="Escalated","Pending Review",
TRUE,"Awaiting Decision"
)</f>
        <v>Pending Review</v>
      </c>
      <c r="O42" t="str" cm="1">
        <f t="array" ref="O42">_xlfn.IFS(
N42="Open Account","Customer approved and account opened.",
M42="Approved","Approved by MLRO. Awaiting account activation.",
M42="Rejected","Customer rejected after compliance review.",
M42="Escalated","Escalated for enhanced due diligence.",
G42="Awaiting Customer","Awaiting additional customer documentation.",
G42="In Progress","Compliance review currently in progress.",
G42="Completed","Compliance review completed. Awaiting MLRO decision.",
TRUE,"Case created and pending analyst review."
)</f>
        <v>Escalated for enhanced due diligence.</v>
      </c>
    </row>
    <row r="43" spans="1:15" x14ac:dyDescent="0.25">
      <c r="A43" t="s">
        <v>130</v>
      </c>
      <c r="B43" t="str">
        <f>IFERROR(
_xlfn.XLOOKUP(
A43,
tblCustomers[Customer ID],
tblCustomers[Full Name]
),
""
)</f>
        <v>Zainab Obi</v>
      </c>
      <c r="C43" t="str">
        <f>IFERROR(
_xlfn.XLOOKUP(
A43,
RiskMatrix[Customer ID],
RiskMatrix[Risk Rating]
),
""
)</f>
        <v>High</v>
      </c>
      <c r="D43" t="str">
        <f>IFERROR(
_xlfn.XLOOKUP(
A43,
RiskMatrix[Customer ID],
RiskMatrix[Due Diligence Tier]
),
""
)</f>
        <v>EDD</v>
      </c>
      <c r="E43" t="str">
        <f>IFERROR(
_xlfn.XLOOKUP(
A43,
RiskMatrix[Customer ID],#REF!
),
""
)</f>
        <v/>
      </c>
      <c r="F43" t="s">
        <v>436</v>
      </c>
      <c r="G43" t="s">
        <v>444</v>
      </c>
      <c r="H43" s="2">
        <f t="shared" ca="1" si="1"/>
        <v>46234</v>
      </c>
      <c r="I43" s="2">
        <v>46275</v>
      </c>
      <c r="J43" t="str">
        <f>_xlfn.LET(
_xlpm.AddressStatus,IFERROR(_xlfn.XLOOKUP(A43,tblCIP[Customer ID],tblCIP[Address Verified]),""),
_xlpm.SOWStatus,IFERROR(_xlfn.XLOOKUP(A43,tblScreening[Customer ID],tblScreening[Source of Wealth Obtained]),""),
IF(
AND(_xlpm.AddressStatus="Yes",_xlpm.SOWStatus="Yes"),
"None",
_xlfn.TEXTJOIN("; ",TRUE,
IF(_xlpm.AddressStatus="No","Proof of Address",""),
IF(_xlpm.SOWStatus="No","Source of Wealth","")
)
)
)</f>
        <v>None</v>
      </c>
      <c r="L43" t="s">
        <v>440</v>
      </c>
      <c r="M43" t="str">
        <f t="shared" si="0"/>
        <v>Rejected</v>
      </c>
      <c r="N43" t="str" cm="1">
        <f t="array" ref="N43">_xlfn.IFS(
M43="Approved","Open Account",
M43="Rejected","Do Not Onboard",
M43="Escalated","Pending Review",
TRUE,"Awaiting Decision"
)</f>
        <v>Do Not Onboard</v>
      </c>
      <c r="O43" t="str" cm="1">
        <f t="array" ref="O43">_xlfn.IFS(
N43="Open Account","Customer approved and account opened.",
M43="Approved","Approved by MLRO. Awaiting account activation.",
M43="Rejected","Customer rejected after compliance review.",
M43="Escalated","Escalated for enhanced due diligence.",
G43="Awaiting Customer","Awaiting additional customer documentation.",
G43="In Progress","Compliance review currently in progress.",
G43="Completed","Compliance review completed. Awaiting MLRO decision.",
TRUE,"Case created and pending analyst review."
)</f>
        <v>Customer rejected after compliance review.</v>
      </c>
    </row>
    <row r="44" spans="1:15" x14ac:dyDescent="0.25">
      <c r="A44" t="s">
        <v>132</v>
      </c>
      <c r="B44" t="str">
        <f>IFERROR(
_xlfn.XLOOKUP(
A44,
tblCustomers[Customer ID],
tblCustomers[Full Name]
),
""
)</f>
        <v>James Adebayo</v>
      </c>
      <c r="C44" t="str">
        <f>IFERROR(
_xlfn.XLOOKUP(
A44,
RiskMatrix[Customer ID],
RiskMatrix[Risk Rating]
),
""
)</f>
        <v>Medium</v>
      </c>
      <c r="D44" t="str">
        <f>IFERROR(
_xlfn.XLOOKUP(
A44,
RiskMatrix[Customer ID],
RiskMatrix[Due Diligence Tier]
),
""
)</f>
        <v>CDD</v>
      </c>
      <c r="E44" t="str">
        <f>IFERROR(
_xlfn.XLOOKUP(
A44,
RiskMatrix[Customer ID],#REF!
),
""
)</f>
        <v/>
      </c>
      <c r="F44" t="s">
        <v>436</v>
      </c>
      <c r="G44" t="s">
        <v>444</v>
      </c>
      <c r="H44" s="2">
        <f t="shared" ca="1" si="1"/>
        <v>46234</v>
      </c>
      <c r="I44" s="2">
        <v>46276</v>
      </c>
      <c r="J44" t="str">
        <f>_xlfn.LET(
_xlpm.AddressStatus,IFERROR(_xlfn.XLOOKUP(A44,tblCIP[Customer ID],tblCIP[Address Verified]),""),
_xlpm.SOWStatus,IFERROR(_xlfn.XLOOKUP(A44,tblScreening[Customer ID],tblScreening[Source of Wealth Obtained]),""),
IF(
AND(_xlpm.AddressStatus="Yes",_xlpm.SOWStatus="Yes"),
"None",
_xlfn.TEXTJOIN("; ",TRUE,
IF(_xlpm.AddressStatus="No","Proof of Address",""),
IF(_xlpm.SOWStatus="No","Source of Wealth","")
)
)
)</f>
        <v>None</v>
      </c>
      <c r="L44" t="s">
        <v>437</v>
      </c>
      <c r="M44" t="str">
        <f t="shared" si="0"/>
        <v>Approved</v>
      </c>
      <c r="N44" t="str" cm="1">
        <f t="array" ref="N44">_xlfn.IFS(
M44="Approved","Open Account",
M44="Rejected","Do Not Onboard",
M44="Escalated","Pending Review",
TRUE,"Awaiting Decision"
)</f>
        <v>Open Account</v>
      </c>
      <c r="O44" t="str" cm="1">
        <f t="array" ref="O44">_xlfn.IFS(
N44="Open Account","Customer approved and account opened.",
M44="Approved","Approved by MLRO. Awaiting account activation.",
M44="Rejected","Customer rejected after compliance review.",
M44="Escalated","Escalated for enhanced due diligence.",
G44="Awaiting Customer","Awaiting additional customer documentation.",
G44="In Progress","Compliance review currently in progress.",
G44="Completed","Compliance review completed. Awaiting MLRO decision.",
TRUE,"Case created and pending analyst review."
)</f>
        <v>Customer approved and account opened.</v>
      </c>
    </row>
    <row r="45" spans="1:15" x14ac:dyDescent="0.25">
      <c r="A45" t="s">
        <v>134</v>
      </c>
      <c r="B45" t="str">
        <f>IFERROR(
_xlfn.XLOOKUP(
A45,
tblCustomers[Customer ID],
tblCustomers[Full Name]
),
""
)</f>
        <v>Ruth Mohammed</v>
      </c>
      <c r="C45" t="str">
        <f>IFERROR(
_xlfn.XLOOKUP(
A45,
RiskMatrix[Customer ID],
RiskMatrix[Risk Rating]
),
""
)</f>
        <v>Low</v>
      </c>
      <c r="D45" t="str">
        <f>IFERROR(
_xlfn.XLOOKUP(
A45,
RiskMatrix[Customer ID],
RiskMatrix[Due Diligence Tier]
),
""
)</f>
        <v>SDD</v>
      </c>
      <c r="E45" t="str">
        <f>IFERROR(
_xlfn.XLOOKUP(
A45,
RiskMatrix[Customer ID],#REF!
),
""
)</f>
        <v/>
      </c>
      <c r="F45" t="s">
        <v>436</v>
      </c>
      <c r="G45" t="s">
        <v>444</v>
      </c>
      <c r="H45" s="2">
        <f t="shared" ca="1" si="1"/>
        <v>46234</v>
      </c>
      <c r="I45" s="2">
        <v>46277</v>
      </c>
      <c r="J45" t="str">
        <f>_xlfn.LET(
_xlpm.AddressStatus,IFERROR(_xlfn.XLOOKUP(A45,tblCIP[Customer ID],tblCIP[Address Verified]),""),
_xlpm.SOWStatus,IFERROR(_xlfn.XLOOKUP(A45,tblScreening[Customer ID],tblScreening[Source of Wealth Obtained]),""),
IF(
AND(_xlpm.AddressStatus="Yes",_xlpm.SOWStatus="Yes"),
"None",
_xlfn.TEXTJOIN("; ",TRUE,
IF(_xlpm.AddressStatus="No","Proof of Address",""),
IF(_xlpm.SOWStatus="No","Source of Wealth","")
)
)
)</f>
        <v>None</v>
      </c>
      <c r="L45" t="s">
        <v>437</v>
      </c>
      <c r="M45" t="str">
        <f t="shared" si="0"/>
        <v>Approved</v>
      </c>
      <c r="N45" t="str" cm="1">
        <f t="array" ref="N45">_xlfn.IFS(
M45="Approved","Open Account",
M45="Rejected","Do Not Onboard",
M45="Escalated","Pending Review",
TRUE,"Awaiting Decision"
)</f>
        <v>Open Account</v>
      </c>
      <c r="O45" t="str" cm="1">
        <f t="array" ref="O45">_xlfn.IFS(
N45="Open Account","Customer approved and account opened.",
M45="Approved","Approved by MLRO. Awaiting account activation.",
M45="Rejected","Customer rejected after compliance review.",
M45="Escalated","Escalated for enhanced due diligence.",
G45="Awaiting Customer","Awaiting additional customer documentation.",
G45="In Progress","Compliance review currently in progress.",
G45="Completed","Compliance review completed. Awaiting MLRO decision.",
TRUE,"Case created and pending analyst review."
)</f>
        <v>Customer approved and account opened.</v>
      </c>
    </row>
    <row r="46" spans="1:15" x14ac:dyDescent="0.25">
      <c r="A46" t="s">
        <v>135</v>
      </c>
      <c r="B46" t="str">
        <f>IFERROR(
_xlfn.XLOOKUP(
A46,
tblCustomers[Customer ID],
tblCustomers[Full Name]
),
""
)</f>
        <v>Ibrahim Osei</v>
      </c>
      <c r="C46" t="str">
        <f>IFERROR(
_xlfn.XLOOKUP(
A46,
RiskMatrix[Customer ID],
RiskMatrix[Risk Rating]
),
""
)</f>
        <v>Low</v>
      </c>
      <c r="D46" t="str">
        <f>IFERROR(
_xlfn.XLOOKUP(
A46,
RiskMatrix[Customer ID],
RiskMatrix[Due Diligence Tier]
),
""
)</f>
        <v>SDD</v>
      </c>
      <c r="E46" t="str">
        <f>IFERROR(
_xlfn.XLOOKUP(
A46,
RiskMatrix[Customer ID],#REF!
),
""
)</f>
        <v/>
      </c>
      <c r="F46" t="s">
        <v>436</v>
      </c>
      <c r="G46" t="s">
        <v>444</v>
      </c>
      <c r="H46" s="2">
        <f t="shared" ca="1" si="1"/>
        <v>46234</v>
      </c>
      <c r="I46" s="2">
        <v>46278</v>
      </c>
      <c r="J46" t="str">
        <f>_xlfn.LET(
_xlpm.AddressStatus,IFERROR(_xlfn.XLOOKUP(A46,tblCIP[Customer ID],tblCIP[Address Verified]),""),
_xlpm.SOWStatus,IFERROR(_xlfn.XLOOKUP(A46,tblScreening[Customer ID],tblScreening[Source of Wealth Obtained]),""),
IF(
AND(_xlpm.AddressStatus="Yes",_xlpm.SOWStatus="Yes"),
"None",
_xlfn.TEXTJOIN("; ",TRUE,
IF(_xlpm.AddressStatus="No","Proof of Address",""),
IF(_xlpm.SOWStatus="No","Source of Wealth","")
)
)
)</f>
        <v>None</v>
      </c>
      <c r="L46" t="s">
        <v>437</v>
      </c>
      <c r="M46" t="str">
        <f t="shared" si="0"/>
        <v>Approved</v>
      </c>
      <c r="N46" t="str" cm="1">
        <f t="array" ref="N46">_xlfn.IFS(
M46="Approved","Open Account",
M46="Rejected","Do Not Onboard",
M46="Escalated","Pending Review",
TRUE,"Awaiting Decision"
)</f>
        <v>Open Account</v>
      </c>
      <c r="O46" t="str" cm="1">
        <f t="array" ref="O46">_xlfn.IFS(
N46="Open Account","Customer approved and account opened.",
M46="Approved","Approved by MLRO. Awaiting account activation.",
M46="Rejected","Customer rejected after compliance review.",
M46="Escalated","Escalated for enhanced due diligence.",
G46="Awaiting Customer","Awaiting additional customer documentation.",
G46="In Progress","Compliance review currently in progress.",
G46="Completed","Compliance review completed. Awaiting MLRO decision.",
TRUE,"Case created and pending analyst review."
)</f>
        <v>Customer approved and account opened.</v>
      </c>
    </row>
    <row r="47" spans="1:15" x14ac:dyDescent="0.25">
      <c r="A47" t="s">
        <v>137</v>
      </c>
      <c r="B47" t="str">
        <f>IFERROR(
_xlfn.XLOOKUP(
A47,
tblCustomers[Customer ID],
tblCustomers[Full Name]
),
""
)</f>
        <v>Ibrahim Adebayo</v>
      </c>
      <c r="C47" t="str">
        <f>IFERROR(
_xlfn.XLOOKUP(
A47,
RiskMatrix[Customer ID],
RiskMatrix[Risk Rating]
),
""
)</f>
        <v>Low</v>
      </c>
      <c r="D47" t="str">
        <f>IFERROR(
_xlfn.XLOOKUP(
A47,
RiskMatrix[Customer ID],
RiskMatrix[Due Diligence Tier]
),
""
)</f>
        <v>SDD</v>
      </c>
      <c r="E47" t="str">
        <f>IFERROR(
_xlfn.XLOOKUP(
A47,
RiskMatrix[Customer ID],#REF!
),
""
)</f>
        <v/>
      </c>
      <c r="F47" t="s">
        <v>436</v>
      </c>
      <c r="G47" t="s">
        <v>444</v>
      </c>
      <c r="H47" s="2">
        <f t="shared" ca="1" si="1"/>
        <v>46234</v>
      </c>
      <c r="I47" s="2">
        <v>46279</v>
      </c>
      <c r="J47" t="str">
        <f>_xlfn.LET(
_xlpm.AddressStatus,IFERROR(_xlfn.XLOOKUP(A47,tblCIP[Customer ID],tblCIP[Address Verified]),""),
_xlpm.SOWStatus,IFERROR(_xlfn.XLOOKUP(A47,tblScreening[Customer ID],tblScreening[Source of Wealth Obtained]),""),
IF(
AND(_xlpm.AddressStatus="Yes",_xlpm.SOWStatus="Yes"),
"None",
_xlfn.TEXTJOIN("; ",TRUE,
IF(_xlpm.AddressStatus="No","Proof of Address",""),
IF(_xlpm.SOWStatus="No","Source of Wealth","")
)
)
)</f>
        <v>None</v>
      </c>
      <c r="L47" t="s">
        <v>437</v>
      </c>
      <c r="M47" t="str">
        <f t="shared" si="0"/>
        <v>Approved</v>
      </c>
      <c r="N47" t="str" cm="1">
        <f t="array" ref="N47">_xlfn.IFS(
M47="Approved","Open Account",
M47="Rejected","Do Not Onboard",
M47="Escalated","Pending Review",
TRUE,"Awaiting Decision"
)</f>
        <v>Open Account</v>
      </c>
      <c r="O47" t="str" cm="1">
        <f t="array" ref="O47">_xlfn.IFS(
N47="Open Account","Customer approved and account opened.",
M47="Approved","Approved by MLRO. Awaiting account activation.",
M47="Rejected","Customer rejected after compliance review.",
M47="Escalated","Escalated for enhanced due diligence.",
G47="Awaiting Customer","Awaiting additional customer documentation.",
G47="In Progress","Compliance review currently in progress.",
G47="Completed","Compliance review completed. Awaiting MLRO decision.",
TRUE,"Case created and pending analyst review."
)</f>
        <v>Customer approved and account opened.</v>
      </c>
    </row>
    <row r="48" spans="1:15" x14ac:dyDescent="0.25">
      <c r="A48" t="s">
        <v>139</v>
      </c>
      <c r="B48" t="str">
        <f>IFERROR(
_xlfn.XLOOKUP(
A48,
tblCustomers[Customer ID],
tblCustomers[Full Name]
),
""
)</f>
        <v>Ahmed Mensah</v>
      </c>
      <c r="C48" t="str">
        <f>IFERROR(
_xlfn.XLOOKUP(
A48,
RiskMatrix[Customer ID],
RiskMatrix[Risk Rating]
),
""
)</f>
        <v>Low</v>
      </c>
      <c r="D48" t="str">
        <f>IFERROR(
_xlfn.XLOOKUP(
A48,
RiskMatrix[Customer ID],
RiskMatrix[Due Diligence Tier]
),
""
)</f>
        <v>SDD</v>
      </c>
      <c r="E48" t="str">
        <f>IFERROR(
_xlfn.XLOOKUP(
A48,
RiskMatrix[Customer ID],#REF!
),
""
)</f>
        <v/>
      </c>
      <c r="F48" t="s">
        <v>436</v>
      </c>
      <c r="G48" t="s">
        <v>444</v>
      </c>
      <c r="H48" s="2">
        <f t="shared" ca="1" si="1"/>
        <v>46234</v>
      </c>
      <c r="I48" s="2">
        <v>46280</v>
      </c>
      <c r="J48" t="str">
        <f>_xlfn.LET(
_xlpm.AddressStatus,IFERROR(_xlfn.XLOOKUP(A48,tblCIP[Customer ID],tblCIP[Address Verified]),""),
_xlpm.SOWStatus,IFERROR(_xlfn.XLOOKUP(A48,tblScreening[Customer ID],tblScreening[Source of Wealth Obtained]),""),
IF(
AND(_xlpm.AddressStatus="Yes",_xlpm.SOWStatus="Yes"),
"None",
_xlfn.TEXTJOIN("; ",TRUE,
IF(_xlpm.AddressStatus="No","Proof of Address",""),
IF(_xlpm.SOWStatus="No","Source of Wealth","")
)
)
)</f>
        <v>None</v>
      </c>
      <c r="L48" t="s">
        <v>437</v>
      </c>
      <c r="M48" t="str">
        <f t="shared" si="0"/>
        <v>Approved</v>
      </c>
      <c r="N48" t="str" cm="1">
        <f t="array" ref="N48">_xlfn.IFS(
M48="Approved","Open Account",
M48="Rejected","Do Not Onboard",
M48="Escalated","Pending Review",
TRUE,"Awaiting Decision"
)</f>
        <v>Open Account</v>
      </c>
      <c r="O48" t="str" cm="1">
        <f t="array" ref="O48">_xlfn.IFS(
N48="Open Account","Customer approved and account opened.",
M48="Approved","Approved by MLRO. Awaiting account activation.",
M48="Rejected","Customer rejected after compliance review.",
M48="Escalated","Escalated for enhanced due diligence.",
G48="Awaiting Customer","Awaiting additional customer documentation.",
G48="In Progress","Compliance review currently in progress.",
G48="Completed","Compliance review completed. Awaiting MLRO decision.",
TRUE,"Case created and pending analyst review."
)</f>
        <v>Customer approved and account opened.</v>
      </c>
    </row>
    <row r="49" spans="1:15" x14ac:dyDescent="0.25">
      <c r="A49" t="s">
        <v>141</v>
      </c>
      <c r="B49" t="str">
        <f>IFERROR(
_xlfn.XLOOKUP(
A49,
tblCustomers[Customer ID],
tblCustomers[Full Name]
),
""
)</f>
        <v>Emeka Eze</v>
      </c>
      <c r="C49" t="str">
        <f>IFERROR(
_xlfn.XLOOKUP(
A49,
RiskMatrix[Customer ID],
RiskMatrix[Risk Rating]
),
""
)</f>
        <v>Low</v>
      </c>
      <c r="D49" t="str">
        <f>IFERROR(
_xlfn.XLOOKUP(
A49,
RiskMatrix[Customer ID],
RiskMatrix[Due Diligence Tier]
),
""
)</f>
        <v>SDD</v>
      </c>
      <c r="E49" t="str">
        <f>IFERROR(
_xlfn.XLOOKUP(
A49,
RiskMatrix[Customer ID],#REF!
),
""
)</f>
        <v/>
      </c>
      <c r="F49" t="s">
        <v>436</v>
      </c>
      <c r="G49" t="s">
        <v>444</v>
      </c>
      <c r="H49" s="2">
        <f t="shared" ca="1" si="1"/>
        <v>46234</v>
      </c>
      <c r="I49" s="2">
        <v>46281</v>
      </c>
      <c r="J49" t="str">
        <f>_xlfn.LET(
_xlpm.AddressStatus,IFERROR(_xlfn.XLOOKUP(A49,tblCIP[Customer ID],tblCIP[Address Verified]),""),
_xlpm.SOWStatus,IFERROR(_xlfn.XLOOKUP(A49,tblScreening[Customer ID],tblScreening[Source of Wealth Obtained]),""),
IF(
AND(_xlpm.AddressStatus="Yes",_xlpm.SOWStatus="Yes"),
"None",
_xlfn.TEXTJOIN("; ",TRUE,
IF(_xlpm.AddressStatus="No","Proof of Address",""),
IF(_xlpm.SOWStatus="No","Source of Wealth","")
)
)
)</f>
        <v>None</v>
      </c>
      <c r="L49" t="s">
        <v>437</v>
      </c>
      <c r="M49" t="str">
        <f t="shared" si="0"/>
        <v>Approved</v>
      </c>
      <c r="N49" t="str" cm="1">
        <f t="array" ref="N49">_xlfn.IFS(
M49="Approved","Open Account",
M49="Rejected","Do Not Onboard",
M49="Escalated","Pending Review",
TRUE,"Awaiting Decision"
)</f>
        <v>Open Account</v>
      </c>
      <c r="O49" t="str" cm="1">
        <f t="array" ref="O49">_xlfn.IFS(
N49="Open Account","Customer approved and account opened.",
M49="Approved","Approved by MLRO. Awaiting account activation.",
M49="Rejected","Customer rejected after compliance review.",
M49="Escalated","Escalated for enhanced due diligence.",
G49="Awaiting Customer","Awaiting additional customer documentation.",
G49="In Progress","Compliance review currently in progress.",
G49="Completed","Compliance review completed. Awaiting MLRO decision.",
TRUE,"Case created and pending analyst review."
)</f>
        <v>Customer approved and account opened.</v>
      </c>
    </row>
    <row r="50" spans="1:15" x14ac:dyDescent="0.25">
      <c r="A50" t="s">
        <v>143</v>
      </c>
      <c r="B50" t="str">
        <f>IFERROR(
_xlfn.XLOOKUP(
A50,
tblCustomers[Customer ID],
tblCustomers[Full Name]
),
""
)</f>
        <v>Peter Smith</v>
      </c>
      <c r="C50" t="str">
        <f>IFERROR(
_xlfn.XLOOKUP(
A50,
RiskMatrix[Customer ID],
RiskMatrix[Risk Rating]
),
""
)</f>
        <v>Medium</v>
      </c>
      <c r="D50" t="str">
        <f>IFERROR(
_xlfn.XLOOKUP(
A50,
RiskMatrix[Customer ID],
RiskMatrix[Due Diligence Tier]
),
""
)</f>
        <v>CDD</v>
      </c>
      <c r="E50" t="str">
        <f>IFERROR(
_xlfn.XLOOKUP(
A50,
RiskMatrix[Customer ID],#REF!
),
""
)</f>
        <v/>
      </c>
      <c r="F50" t="s">
        <v>436</v>
      </c>
      <c r="G50" t="s">
        <v>444</v>
      </c>
      <c r="H50" s="2">
        <f t="shared" ca="1" si="1"/>
        <v>46234</v>
      </c>
      <c r="I50" s="2">
        <v>46282</v>
      </c>
      <c r="J50" t="str">
        <f>_xlfn.LET(
_xlpm.AddressStatus,IFERROR(_xlfn.XLOOKUP(A50,tblCIP[Customer ID],tblCIP[Address Verified]),""),
_xlpm.SOWStatus,IFERROR(_xlfn.XLOOKUP(A50,tblScreening[Customer ID],tblScreening[Source of Wealth Obtained]),""),
IF(
AND(_xlpm.AddressStatus="Yes",_xlpm.SOWStatus="Yes"),
"None",
_xlfn.TEXTJOIN("; ",TRUE,
IF(_xlpm.AddressStatus="No","Proof of Address",""),
IF(_xlpm.SOWStatus="No","Source of Wealth","")
)
)
)</f>
        <v>None</v>
      </c>
      <c r="L50" t="s">
        <v>437</v>
      </c>
      <c r="M50" t="str">
        <f t="shared" si="0"/>
        <v>Approved</v>
      </c>
      <c r="N50" t="str" cm="1">
        <f t="array" ref="N50">_xlfn.IFS(
M50="Approved","Open Account",
M50="Rejected","Do Not Onboard",
M50="Escalated","Pending Review",
TRUE,"Awaiting Decision"
)</f>
        <v>Open Account</v>
      </c>
      <c r="O50" t="str" cm="1">
        <f t="array" ref="O50">_xlfn.IFS(
N50="Open Account","Customer approved and account opened.",
M50="Approved","Approved by MLRO. Awaiting account activation.",
M50="Rejected","Customer rejected after compliance review.",
M50="Escalated","Escalated for enhanced due diligence.",
G50="Awaiting Customer","Awaiting additional customer documentation.",
G50="In Progress","Compliance review currently in progress.",
G50="Completed","Compliance review completed. Awaiting MLRO decision.",
TRUE,"Case created and pending analyst review."
)</f>
        <v>Customer approved and account opened.</v>
      </c>
    </row>
    <row r="51" spans="1:15" x14ac:dyDescent="0.25">
      <c r="A51" t="s">
        <v>145</v>
      </c>
      <c r="B51" t="str">
        <f>IFERROR(
_xlfn.XLOOKUP(
A51,
tblCustomers[Customer ID],
tblCustomers[Full Name]
),
""
)</f>
        <v>Grace Mensah</v>
      </c>
      <c r="C51" t="str">
        <f>IFERROR(
_xlfn.XLOOKUP(
A51,
RiskMatrix[Customer ID],
RiskMatrix[Risk Rating]
),
""
)</f>
        <v>Medium</v>
      </c>
      <c r="D51" t="str">
        <f>IFERROR(
_xlfn.XLOOKUP(
A51,
RiskMatrix[Customer ID],
RiskMatrix[Due Diligence Tier]
),
""
)</f>
        <v>CDD</v>
      </c>
      <c r="E51" t="str">
        <f>IFERROR(
_xlfn.XLOOKUP(
A51,
RiskMatrix[Customer ID],#REF!
),
""
)</f>
        <v/>
      </c>
      <c r="F51" t="s">
        <v>436</v>
      </c>
      <c r="G51" t="s">
        <v>444</v>
      </c>
      <c r="H51" s="2">
        <f t="shared" ca="1" si="1"/>
        <v>46234</v>
      </c>
      <c r="I51" s="2">
        <v>46283</v>
      </c>
      <c r="J51" t="str">
        <f>_xlfn.LET(
_xlpm.AddressStatus,IFERROR(_xlfn.XLOOKUP(A51,tblCIP[Customer ID],tblCIP[Address Verified]),""),
_xlpm.SOWStatus,IFERROR(_xlfn.XLOOKUP(A51,tblScreening[Customer ID],tblScreening[Source of Wealth Obtained]),""),
IF(
AND(_xlpm.AddressStatus="Yes",_xlpm.SOWStatus="Yes"),
"None",
_xlfn.TEXTJOIN("; ",TRUE,
IF(_xlpm.AddressStatus="No","Proof of Address",""),
IF(_xlpm.SOWStatus="No","Source of Wealth","")
)
)
)</f>
        <v>None</v>
      </c>
      <c r="L51" t="s">
        <v>437</v>
      </c>
      <c r="M51" t="str">
        <f t="shared" si="0"/>
        <v>Approved</v>
      </c>
      <c r="N51" t="str" cm="1">
        <f t="array" ref="N51">_xlfn.IFS(
M51="Approved","Open Account",
M51="Rejected","Do Not Onboard",
M51="Escalated","Pending Review",
TRUE,"Awaiting Decision"
)</f>
        <v>Open Account</v>
      </c>
      <c r="O51" t="str" cm="1">
        <f t="array" ref="O51">_xlfn.IFS(
N51="Open Account","Customer approved and account opened.",
M51="Approved","Approved by MLRO. Awaiting account activation.",
M51="Rejected","Customer rejected after compliance review.",
M51="Escalated","Escalated for enhanced due diligence.",
G51="Awaiting Customer","Awaiting additional customer documentation.",
G51="In Progress","Compliance review currently in progress.",
G51="Completed","Compliance review completed. Awaiting MLRO decision.",
TRUE,"Case created and pending analyst review."
)</f>
        <v>Customer approved and account opened.</v>
      </c>
    </row>
    <row r="52" spans="1:15" x14ac:dyDescent="0.25">
      <c r="A52" t="s">
        <v>147</v>
      </c>
      <c r="B52" t="str">
        <f>IFERROR(
_xlfn.XLOOKUP(
A52,
tblCustomers[Customer ID],
tblCustomers[Full Name]
),
""
)</f>
        <v>Ibrahim Mensah</v>
      </c>
      <c r="C52" t="str">
        <f>IFERROR(
_xlfn.XLOOKUP(
A52,
RiskMatrix[Customer ID],
RiskMatrix[Risk Rating]
),
""
)</f>
        <v>Medium</v>
      </c>
      <c r="D52" t="str">
        <f>IFERROR(
_xlfn.XLOOKUP(
A52,
RiskMatrix[Customer ID],
RiskMatrix[Due Diligence Tier]
),
""
)</f>
        <v>EDD</v>
      </c>
      <c r="E52" t="str">
        <f>IFERROR(
_xlfn.XLOOKUP(
A52,
RiskMatrix[Customer ID],#REF!
),
""
)</f>
        <v/>
      </c>
      <c r="F52" t="s">
        <v>436</v>
      </c>
      <c r="G52" t="s">
        <v>444</v>
      </c>
      <c r="H52" s="2">
        <f t="shared" ca="1" si="1"/>
        <v>46234</v>
      </c>
      <c r="I52" s="2">
        <v>46284</v>
      </c>
      <c r="J52" t="str">
        <f>_xlfn.LET(
_xlpm.AddressStatus,IFERROR(_xlfn.XLOOKUP(A52,tblCIP[Customer ID],tblCIP[Address Verified]),""),
_xlpm.SOWStatus,IFERROR(_xlfn.XLOOKUP(A52,tblScreening[Customer ID],tblScreening[Source of Wealth Obtained]),""),
IF(
AND(_xlpm.AddressStatus="Yes",_xlpm.SOWStatus="Yes"),
"None",
_xlfn.TEXTJOIN("; ",TRUE,
IF(_xlpm.AddressStatus="No","Proof of Address",""),
IF(_xlpm.SOWStatus="No","Source of Wealth","")
)
)
)</f>
        <v>None</v>
      </c>
      <c r="L52" t="s">
        <v>440</v>
      </c>
      <c r="M52" t="str">
        <f t="shared" si="0"/>
        <v>Rejected</v>
      </c>
      <c r="N52" t="str" cm="1">
        <f t="array" ref="N52">_xlfn.IFS(
M52="Approved","Open Account",
M52="Rejected","Do Not Onboard",
M52="Escalated","Pending Review",
TRUE,"Awaiting Decision"
)</f>
        <v>Do Not Onboard</v>
      </c>
      <c r="O52" t="str" cm="1">
        <f t="array" ref="O52">_xlfn.IFS(
N52="Open Account","Customer approved and account opened.",
M52="Approved","Approved by MLRO. Awaiting account activation.",
M52="Rejected","Customer rejected after compliance review.",
M52="Escalated","Escalated for enhanced due diligence.",
G52="Awaiting Customer","Awaiting additional customer documentation.",
G52="In Progress","Compliance review currently in progress.",
G52="Completed","Compliance review completed. Awaiting MLRO decision.",
TRUE,"Case created and pending analyst review."
)</f>
        <v>Customer rejected after compliance review.</v>
      </c>
    </row>
    <row r="53" spans="1:15" x14ac:dyDescent="0.25">
      <c r="A53" t="s">
        <v>149</v>
      </c>
      <c r="B53" t="str">
        <f>IFERROR(
_xlfn.XLOOKUP(
A53,
tblCustomers[Customer ID],
tblCustomers[Full Name]
),
""
)</f>
        <v>Ahmed Adeyemi</v>
      </c>
      <c r="C53" t="str">
        <f>IFERROR(
_xlfn.XLOOKUP(
A53,
RiskMatrix[Customer ID],
RiskMatrix[Risk Rating]
),
""
)</f>
        <v>Low</v>
      </c>
      <c r="D53" t="str">
        <f>IFERROR(
_xlfn.XLOOKUP(
A53,
RiskMatrix[Customer ID],
RiskMatrix[Due Diligence Tier]
),
""
)</f>
        <v>SDD</v>
      </c>
      <c r="E53" t="str">
        <f>IFERROR(
_xlfn.XLOOKUP(
A53,
RiskMatrix[Customer ID],#REF!
),
""
)</f>
        <v/>
      </c>
      <c r="F53" t="s">
        <v>436</v>
      </c>
      <c r="G53" t="s">
        <v>444</v>
      </c>
      <c r="H53" s="2">
        <f t="shared" ca="1" si="1"/>
        <v>46234</v>
      </c>
      <c r="I53" s="2">
        <v>46285</v>
      </c>
      <c r="J53" t="str">
        <f>_xlfn.LET(
_xlpm.AddressStatus,IFERROR(_xlfn.XLOOKUP(A53,tblCIP[Customer ID],tblCIP[Address Verified]),""),
_xlpm.SOWStatus,IFERROR(_xlfn.XLOOKUP(A53,tblScreening[Customer ID],tblScreening[Source of Wealth Obtained]),""),
IF(
AND(_xlpm.AddressStatus="Yes",_xlpm.SOWStatus="Yes"),
"None",
_xlfn.TEXTJOIN("; ",TRUE,
IF(_xlpm.AddressStatus="No","Proof of Address",""),
IF(_xlpm.SOWStatus="No","Source of Wealth","")
)
)
)</f>
        <v>None</v>
      </c>
      <c r="L53" t="s">
        <v>437</v>
      </c>
      <c r="M53" t="str">
        <f t="shared" si="0"/>
        <v>Approved</v>
      </c>
      <c r="N53" t="str" cm="1">
        <f t="array" ref="N53">_xlfn.IFS(
M53="Approved","Open Account",
M53="Rejected","Do Not Onboard",
M53="Escalated","Pending Review",
TRUE,"Awaiting Decision"
)</f>
        <v>Open Account</v>
      </c>
      <c r="O53" t="str" cm="1">
        <f t="array" ref="O53">_xlfn.IFS(
N53="Open Account","Customer approved and account opened.",
M53="Approved","Approved by MLRO. Awaiting account activation.",
M53="Rejected","Customer rejected after compliance review.",
M53="Escalated","Escalated for enhanced due diligence.",
G53="Awaiting Customer","Awaiting additional customer documentation.",
G53="In Progress","Compliance review currently in progress.",
G53="Completed","Compliance review completed. Awaiting MLRO decision.",
TRUE,"Case created and pending analyst review."
)</f>
        <v>Customer approved and account opened.</v>
      </c>
    </row>
    <row r="54" spans="1:15" x14ac:dyDescent="0.25">
      <c r="A54" t="s">
        <v>151</v>
      </c>
      <c r="B54" t="str">
        <f>IFERROR(
_xlfn.XLOOKUP(
A54,
tblCustomers[Customer ID],
tblCustomers[Full Name]
),
""
)</f>
        <v>Chioma Suleiman</v>
      </c>
      <c r="C54" t="str">
        <f>IFERROR(
_xlfn.XLOOKUP(
A54,
RiskMatrix[Customer ID],
RiskMatrix[Risk Rating]
),
""
)</f>
        <v>Medium</v>
      </c>
      <c r="D54" t="str">
        <f>IFERROR(
_xlfn.XLOOKUP(
A54,
RiskMatrix[Customer ID],
RiskMatrix[Due Diligence Tier]
),
""
)</f>
        <v>CDD</v>
      </c>
      <c r="E54" t="str">
        <f>IFERROR(
_xlfn.XLOOKUP(
A54,
RiskMatrix[Customer ID],#REF!
),
""
)</f>
        <v/>
      </c>
      <c r="F54" t="s">
        <v>436</v>
      </c>
      <c r="G54" t="s">
        <v>444</v>
      </c>
      <c r="H54" s="2">
        <f t="shared" ca="1" si="1"/>
        <v>46234</v>
      </c>
      <c r="I54" s="2">
        <v>46286</v>
      </c>
      <c r="J54" t="str">
        <f>_xlfn.LET(
_xlpm.AddressStatus,IFERROR(_xlfn.XLOOKUP(A54,tblCIP[Customer ID],tblCIP[Address Verified]),""),
_xlpm.SOWStatus,IFERROR(_xlfn.XLOOKUP(A54,tblScreening[Customer ID],tblScreening[Source of Wealth Obtained]),""),
IF(
AND(_xlpm.AddressStatus="Yes",_xlpm.SOWStatus="Yes"),
"None",
_xlfn.TEXTJOIN("; ",TRUE,
IF(_xlpm.AddressStatus="No","Proof of Address",""),
IF(_xlpm.SOWStatus="No","Source of Wealth","")
)
)
)</f>
        <v>None</v>
      </c>
      <c r="L54" t="s">
        <v>437</v>
      </c>
      <c r="M54" t="str">
        <f t="shared" si="0"/>
        <v>Approved</v>
      </c>
      <c r="N54" t="str" cm="1">
        <f t="array" ref="N54">_xlfn.IFS(
M54="Approved","Open Account",
M54="Rejected","Do Not Onboard",
M54="Escalated","Pending Review",
TRUE,"Awaiting Decision"
)</f>
        <v>Open Account</v>
      </c>
      <c r="O54" t="str" cm="1">
        <f t="array" ref="O54">_xlfn.IFS(
N54="Open Account","Customer approved and account opened.",
M54="Approved","Approved by MLRO. Awaiting account activation.",
M54="Rejected","Customer rejected after compliance review.",
M54="Escalated","Escalated for enhanced due diligence.",
G54="Awaiting Customer","Awaiting additional customer documentation.",
G54="In Progress","Compliance review currently in progress.",
G54="Completed","Compliance review completed. Awaiting MLRO decision.",
TRUE,"Case created and pending analyst review."
)</f>
        <v>Customer approved and account opened.</v>
      </c>
    </row>
    <row r="55" spans="1:15" x14ac:dyDescent="0.25">
      <c r="A55" t="s">
        <v>153</v>
      </c>
      <c r="B55" t="str">
        <f>IFERROR(
_xlfn.XLOOKUP(
A55,
tblCustomers[Customer ID],
tblCustomers[Full Name]
),
""
)</f>
        <v>Samuel Okeke</v>
      </c>
      <c r="C55" t="str">
        <f>IFERROR(
_xlfn.XLOOKUP(
A55,
RiskMatrix[Customer ID],
RiskMatrix[Risk Rating]
),
""
)</f>
        <v>Medium</v>
      </c>
      <c r="D55" t="str">
        <f>IFERROR(
_xlfn.XLOOKUP(
A55,
RiskMatrix[Customer ID],
RiskMatrix[Due Diligence Tier]
),
""
)</f>
        <v>CDD</v>
      </c>
      <c r="E55" t="str">
        <f>IFERROR(
_xlfn.XLOOKUP(
A55,
RiskMatrix[Customer ID],#REF!
),
""
)</f>
        <v/>
      </c>
      <c r="F55" t="s">
        <v>436</v>
      </c>
      <c r="G55" t="s">
        <v>444</v>
      </c>
      <c r="H55" s="2">
        <f t="shared" ca="1" si="1"/>
        <v>46234</v>
      </c>
      <c r="I55" s="2">
        <v>46287</v>
      </c>
      <c r="J55" t="str">
        <f>_xlfn.LET(
_xlpm.AddressStatus,IFERROR(_xlfn.XLOOKUP(A55,tblCIP[Customer ID],tblCIP[Address Verified]),""),
_xlpm.SOWStatus,IFERROR(_xlfn.XLOOKUP(A55,tblScreening[Customer ID],tblScreening[Source of Wealth Obtained]),""),
IF(
AND(_xlpm.AddressStatus="Yes",_xlpm.SOWStatus="Yes"),
"None",
_xlfn.TEXTJOIN("; ",TRUE,
IF(_xlpm.AddressStatus="No","Proof of Address",""),
IF(_xlpm.SOWStatus="No","Source of Wealth","")
)
)
)</f>
        <v>None</v>
      </c>
      <c r="L55" t="s">
        <v>437</v>
      </c>
      <c r="M55" t="str">
        <f t="shared" si="0"/>
        <v>Approved</v>
      </c>
      <c r="N55" t="str" cm="1">
        <f t="array" ref="N55">_xlfn.IFS(
M55="Approved","Open Account",
M55="Rejected","Do Not Onboard",
M55="Escalated","Pending Review",
TRUE,"Awaiting Decision"
)</f>
        <v>Open Account</v>
      </c>
      <c r="O55" t="str" cm="1">
        <f t="array" ref="O55">_xlfn.IFS(
N55="Open Account","Customer approved and account opened.",
M55="Approved","Approved by MLRO. Awaiting account activation.",
M55="Rejected","Customer rejected after compliance review.",
M55="Escalated","Escalated for enhanced due diligence.",
G55="Awaiting Customer","Awaiting additional customer documentation.",
G55="In Progress","Compliance review currently in progress.",
G55="Completed","Compliance review completed. Awaiting MLRO decision.",
TRUE,"Case created and pending analyst review."
)</f>
        <v>Customer approved and account opened.</v>
      </c>
    </row>
    <row r="56" spans="1:15" x14ac:dyDescent="0.25">
      <c r="A56" t="s">
        <v>155</v>
      </c>
      <c r="B56" t="str">
        <f>IFERROR(
_xlfn.XLOOKUP(
A56,
tblCustomers[Customer ID],
tblCustomers[Full Name]
),
""
)</f>
        <v>Precious Adebayo</v>
      </c>
      <c r="C56" t="str">
        <f>IFERROR(
_xlfn.XLOOKUP(
A56,
RiskMatrix[Customer ID],
RiskMatrix[Risk Rating]
),
""
)</f>
        <v>Low</v>
      </c>
      <c r="D56" t="str">
        <f>IFERROR(
_xlfn.XLOOKUP(
A56,
RiskMatrix[Customer ID],
RiskMatrix[Due Diligence Tier]
),
""
)</f>
        <v>SDD</v>
      </c>
      <c r="E56" t="str">
        <f>IFERROR(
_xlfn.XLOOKUP(
A56,
RiskMatrix[Customer ID],#REF!
),
""
)</f>
        <v/>
      </c>
      <c r="F56" t="s">
        <v>436</v>
      </c>
      <c r="G56" t="s">
        <v>444</v>
      </c>
      <c r="H56" s="2">
        <f t="shared" ca="1" si="1"/>
        <v>46234</v>
      </c>
      <c r="I56" s="2">
        <v>46288</v>
      </c>
      <c r="J56" t="str">
        <f>_xlfn.LET(
_xlpm.AddressStatus,IFERROR(_xlfn.XLOOKUP(A56,tblCIP[Customer ID],tblCIP[Address Verified]),""),
_xlpm.SOWStatus,IFERROR(_xlfn.XLOOKUP(A56,tblScreening[Customer ID],tblScreening[Source of Wealth Obtained]),""),
IF(
AND(_xlpm.AddressStatus="Yes",_xlpm.SOWStatus="Yes"),
"None",
_xlfn.TEXTJOIN("; ",TRUE,
IF(_xlpm.AddressStatus="No","Proof of Address",""),
IF(_xlpm.SOWStatus="No","Source of Wealth","")
)
)
)</f>
        <v>None</v>
      </c>
      <c r="L56" t="s">
        <v>437</v>
      </c>
      <c r="M56" t="str">
        <f t="shared" si="0"/>
        <v>Approved</v>
      </c>
      <c r="N56" t="str" cm="1">
        <f t="array" ref="N56">_xlfn.IFS(
M56="Approved","Open Account",
M56="Rejected","Do Not Onboard",
M56="Escalated","Pending Review",
TRUE,"Awaiting Decision"
)</f>
        <v>Open Account</v>
      </c>
      <c r="O56" t="str" cm="1">
        <f t="array" ref="O56">_xlfn.IFS(
N56="Open Account","Customer approved and account opened.",
M56="Approved","Approved by MLRO. Awaiting account activation.",
M56="Rejected","Customer rejected after compliance review.",
M56="Escalated","Escalated for enhanced due diligence.",
G56="Awaiting Customer","Awaiting additional customer documentation.",
G56="In Progress","Compliance review currently in progress.",
G56="Completed","Compliance review completed. Awaiting MLRO decision.",
TRUE,"Case created and pending analyst review."
)</f>
        <v>Customer approved and account opened.</v>
      </c>
    </row>
    <row r="57" spans="1:15" x14ac:dyDescent="0.25">
      <c r="A57" t="s">
        <v>157</v>
      </c>
      <c r="B57" t="str">
        <f>IFERROR(
_xlfn.XLOOKUP(
A57,
tblCustomers[Customer ID],
tblCustomers[Full Name]
),
""
)</f>
        <v>Ahmed Smith</v>
      </c>
      <c r="C57" t="str">
        <f>IFERROR(
_xlfn.XLOOKUP(
A57,
RiskMatrix[Customer ID],
RiskMatrix[Risk Rating]
),
""
)</f>
        <v>High</v>
      </c>
      <c r="D57" t="str">
        <f>IFERROR(
_xlfn.XLOOKUP(
A57,
RiskMatrix[Customer ID],
RiskMatrix[Due Diligence Tier]
),
""
)</f>
        <v>EDD</v>
      </c>
      <c r="E57" t="str">
        <f>IFERROR(
_xlfn.XLOOKUP(
A57,
RiskMatrix[Customer ID],#REF!
),
""
)</f>
        <v/>
      </c>
      <c r="F57" t="s">
        <v>436</v>
      </c>
      <c r="G57" t="s">
        <v>444</v>
      </c>
      <c r="H57" s="2">
        <f t="shared" ca="1" si="1"/>
        <v>46234</v>
      </c>
      <c r="I57" s="2">
        <v>46289</v>
      </c>
      <c r="J57" t="str">
        <f>_xlfn.LET(
_xlpm.AddressStatus,IFERROR(_xlfn.XLOOKUP(A57,tblCIP[Customer ID],tblCIP[Address Verified]),""),
_xlpm.SOWStatus,IFERROR(_xlfn.XLOOKUP(A57,tblScreening[Customer ID],tblScreening[Source of Wealth Obtained]),""),
IF(
AND(_xlpm.AddressStatus="Yes",_xlpm.SOWStatus="Yes"),
"None",
_xlfn.TEXTJOIN("; ",TRUE,
IF(_xlpm.AddressStatus="No","Proof of Address",""),
IF(_xlpm.SOWStatus="No","Source of Wealth","")
)
)
)</f>
        <v>None</v>
      </c>
      <c r="L57" t="s">
        <v>440</v>
      </c>
      <c r="M57" t="str">
        <f t="shared" si="0"/>
        <v>Rejected</v>
      </c>
      <c r="N57" t="str" cm="1">
        <f t="array" ref="N57">_xlfn.IFS(
M57="Approved","Open Account",
M57="Rejected","Do Not Onboard",
M57="Escalated","Pending Review",
TRUE,"Awaiting Decision"
)</f>
        <v>Do Not Onboard</v>
      </c>
      <c r="O57" t="str" cm="1">
        <f t="array" ref="O57">_xlfn.IFS(
N57="Open Account","Customer approved and account opened.",
M57="Approved","Approved by MLRO. Awaiting account activation.",
M57="Rejected","Customer rejected after compliance review.",
M57="Escalated","Escalated for enhanced due diligence.",
G57="Awaiting Customer","Awaiting additional customer documentation.",
G57="In Progress","Compliance review currently in progress.",
G57="Completed","Compliance review completed. Awaiting MLRO decision.",
TRUE,"Case created and pending analyst review."
)</f>
        <v>Customer rejected after compliance review.</v>
      </c>
    </row>
    <row r="58" spans="1:15" x14ac:dyDescent="0.25">
      <c r="A58" t="s">
        <v>159</v>
      </c>
      <c r="B58" t="str">
        <f>IFERROR(
_xlfn.XLOOKUP(
A58,
tblCustomers[Customer ID],
tblCustomers[Full Name]
),
""
)</f>
        <v>Samuel Okeke</v>
      </c>
      <c r="C58" t="str">
        <f>IFERROR(
_xlfn.XLOOKUP(
A58,
RiskMatrix[Customer ID],
RiskMatrix[Risk Rating]
),
""
)</f>
        <v>Medium</v>
      </c>
      <c r="D58" t="str">
        <f>IFERROR(
_xlfn.XLOOKUP(
A58,
RiskMatrix[Customer ID],
RiskMatrix[Due Diligence Tier]
),
""
)</f>
        <v>EDD</v>
      </c>
      <c r="E58" t="str">
        <f>IFERROR(
_xlfn.XLOOKUP(
A58,
RiskMatrix[Customer ID],#REF!
),
""
)</f>
        <v/>
      </c>
      <c r="F58" t="s">
        <v>436</v>
      </c>
      <c r="G58" t="s">
        <v>444</v>
      </c>
      <c r="H58" s="2">
        <f t="shared" ca="1" si="1"/>
        <v>46234</v>
      </c>
      <c r="I58" s="2">
        <v>46290</v>
      </c>
      <c r="J58" t="str">
        <f>_xlfn.LET(
_xlpm.AddressStatus,IFERROR(_xlfn.XLOOKUP(A58,tblCIP[Customer ID],tblCIP[Address Verified]),""),
_xlpm.SOWStatus,IFERROR(_xlfn.XLOOKUP(A58,tblScreening[Customer ID],tblScreening[Source of Wealth Obtained]),""),
IF(
AND(_xlpm.AddressStatus="Yes",_xlpm.SOWStatus="Yes"),
"None",
_xlfn.TEXTJOIN("; ",TRUE,
IF(_xlpm.AddressStatus="No","Proof of Address",""),
IF(_xlpm.SOWStatus="No","Source of Wealth","")
)
)
)</f>
        <v>None</v>
      </c>
      <c r="L58" t="s">
        <v>438</v>
      </c>
      <c r="M58" t="str">
        <f t="shared" si="0"/>
        <v>Escalated</v>
      </c>
      <c r="N58" t="str" cm="1">
        <f t="array" ref="N58">_xlfn.IFS(
M58="Approved","Open Account",
M58="Rejected","Do Not Onboard",
M58="Escalated","Pending Review",
TRUE,"Awaiting Decision"
)</f>
        <v>Pending Review</v>
      </c>
      <c r="O58" t="str" cm="1">
        <f t="array" ref="O58">_xlfn.IFS(
N58="Open Account","Customer approved and account opened.",
M58="Approved","Approved by MLRO. Awaiting account activation.",
M58="Rejected","Customer rejected after compliance review.",
M58="Escalated","Escalated for enhanced due diligence.",
G58="Awaiting Customer","Awaiting additional customer documentation.",
G58="In Progress","Compliance review currently in progress.",
G58="Completed","Compliance review completed. Awaiting MLRO decision.",
TRUE,"Case created and pending analyst review."
)</f>
        <v>Escalated for enhanced due diligence.</v>
      </c>
    </row>
    <row r="59" spans="1:15" x14ac:dyDescent="0.25">
      <c r="A59" t="s">
        <v>160</v>
      </c>
      <c r="B59" t="str">
        <f>IFERROR(
_xlfn.XLOOKUP(
A59,
tblCustomers[Customer ID],
tblCustomers[Full Name]
),
""
)</f>
        <v>Samuel Brown</v>
      </c>
      <c r="C59" t="str">
        <f>IFERROR(
_xlfn.XLOOKUP(
A59,
RiskMatrix[Customer ID],
RiskMatrix[Risk Rating]
),
""
)</f>
        <v>Low</v>
      </c>
      <c r="D59" t="str">
        <f>IFERROR(
_xlfn.XLOOKUP(
A59,
RiskMatrix[Customer ID],
RiskMatrix[Due Diligence Tier]
),
""
)</f>
        <v>SDD</v>
      </c>
      <c r="E59" t="str">
        <f>IFERROR(
_xlfn.XLOOKUP(
A59,
RiskMatrix[Customer ID],#REF!
),
""
)</f>
        <v/>
      </c>
      <c r="F59" t="s">
        <v>436</v>
      </c>
      <c r="G59" t="s">
        <v>444</v>
      </c>
      <c r="H59" s="2">
        <f t="shared" ca="1" si="1"/>
        <v>46234</v>
      </c>
      <c r="I59" s="2">
        <v>46291</v>
      </c>
      <c r="J59" t="str">
        <f>_xlfn.LET(
_xlpm.AddressStatus,IFERROR(_xlfn.XLOOKUP(A59,tblCIP[Customer ID],tblCIP[Address Verified]),""),
_xlpm.SOWStatus,IFERROR(_xlfn.XLOOKUP(A59,tblScreening[Customer ID],tblScreening[Source of Wealth Obtained]),""),
IF(
AND(_xlpm.AddressStatus="Yes",_xlpm.SOWStatus="Yes"),
"None",
_xlfn.TEXTJOIN("; ",TRUE,
IF(_xlpm.AddressStatus="No","Proof of Address",""),
IF(_xlpm.SOWStatus="No","Source of Wealth","")
)
)
)</f>
        <v>None</v>
      </c>
      <c r="L59" t="s">
        <v>437</v>
      </c>
      <c r="M59" t="str">
        <f t="shared" si="0"/>
        <v>Approved</v>
      </c>
      <c r="N59" t="str" cm="1">
        <f t="array" ref="N59">_xlfn.IFS(
M59="Approved","Open Account",
M59="Rejected","Do Not Onboard",
M59="Escalated","Pending Review",
TRUE,"Awaiting Decision"
)</f>
        <v>Open Account</v>
      </c>
      <c r="O59" t="str" cm="1">
        <f t="array" ref="O59">_xlfn.IFS(
N59="Open Account","Customer approved and account opened.",
M59="Approved","Approved by MLRO. Awaiting account activation.",
M59="Rejected","Customer rejected after compliance review.",
M59="Escalated","Escalated for enhanced due diligence.",
G59="Awaiting Customer","Awaiting additional customer documentation.",
G59="In Progress","Compliance review currently in progress.",
G59="Completed","Compliance review completed. Awaiting MLRO decision.",
TRUE,"Case created and pending analyst review."
)</f>
        <v>Customer approved and account opened.</v>
      </c>
    </row>
    <row r="60" spans="1:15" x14ac:dyDescent="0.25">
      <c r="A60" t="s">
        <v>162</v>
      </c>
      <c r="B60" t="str">
        <f>IFERROR(
_xlfn.XLOOKUP(
A60,
tblCustomers[Customer ID],
tblCustomers[Full Name]
),
""
)</f>
        <v>Zainab Brown</v>
      </c>
      <c r="C60" t="str">
        <f>IFERROR(
_xlfn.XLOOKUP(
A60,
RiskMatrix[Customer ID],
RiskMatrix[Risk Rating]
),
""
)</f>
        <v>Low</v>
      </c>
      <c r="D60" t="str">
        <f>IFERROR(
_xlfn.XLOOKUP(
A60,
RiskMatrix[Customer ID],
RiskMatrix[Due Diligence Tier]
),
""
)</f>
        <v>EDD</v>
      </c>
      <c r="E60" t="str">
        <f>IFERROR(
_xlfn.XLOOKUP(
A60,
RiskMatrix[Customer ID],#REF!
),
""
)</f>
        <v/>
      </c>
      <c r="F60" t="s">
        <v>436</v>
      </c>
      <c r="G60" t="s">
        <v>444</v>
      </c>
      <c r="H60" s="2">
        <f t="shared" ca="1" si="1"/>
        <v>46234</v>
      </c>
      <c r="I60" s="2">
        <v>46292</v>
      </c>
      <c r="J60" t="str">
        <f>_xlfn.LET(
_xlpm.AddressStatus,IFERROR(_xlfn.XLOOKUP(A60,tblCIP[Customer ID],tblCIP[Address Verified]),""),
_xlpm.SOWStatus,IFERROR(_xlfn.XLOOKUP(A60,tblScreening[Customer ID],tblScreening[Source of Wealth Obtained]),""),
IF(
AND(_xlpm.AddressStatus="Yes",_xlpm.SOWStatus="Yes"),
"None",
_xlfn.TEXTJOIN("; ",TRUE,
IF(_xlpm.AddressStatus="No","Proof of Address",""),
IF(_xlpm.SOWStatus="No","Source of Wealth","")
)
)
)</f>
        <v>Source of Wealth</v>
      </c>
      <c r="L60" t="s">
        <v>438</v>
      </c>
      <c r="M60" t="str">
        <f t="shared" si="0"/>
        <v>Escalated</v>
      </c>
      <c r="N60" t="str" cm="1">
        <f t="array" ref="N60">_xlfn.IFS(
M60="Approved","Open Account",
M60="Rejected","Do Not Onboard",
M60="Escalated","Pending Review",
TRUE,"Awaiting Decision"
)</f>
        <v>Pending Review</v>
      </c>
      <c r="O60" t="str" cm="1">
        <f t="array" ref="O60">_xlfn.IFS(
N60="Open Account","Customer approved and account opened.",
M60="Approved","Approved by MLRO. Awaiting account activation.",
M60="Rejected","Customer rejected after compliance review.",
M60="Escalated","Escalated for enhanced due diligence.",
G60="Awaiting Customer","Awaiting additional customer documentation.",
G60="In Progress","Compliance review currently in progress.",
G60="Completed","Compliance review completed. Awaiting MLRO decision.",
TRUE,"Case created and pending analyst review."
)</f>
        <v>Escalated for enhanced due diligence.</v>
      </c>
    </row>
    <row r="61" spans="1:15" x14ac:dyDescent="0.25">
      <c r="A61" t="s">
        <v>163</v>
      </c>
      <c r="B61" t="str">
        <f>IFERROR(
_xlfn.XLOOKUP(
A61,
tblCustomers[Customer ID],
tblCustomers[Full Name]
),
""
)</f>
        <v>Michael Williams</v>
      </c>
      <c r="C61" t="str">
        <f>IFERROR(
_xlfn.XLOOKUP(
A61,
RiskMatrix[Customer ID],
RiskMatrix[Risk Rating]
),
""
)</f>
        <v>Low</v>
      </c>
      <c r="D61" t="str">
        <f>IFERROR(
_xlfn.XLOOKUP(
A61,
RiskMatrix[Customer ID],
RiskMatrix[Due Diligence Tier]
),
""
)</f>
        <v>SDD</v>
      </c>
      <c r="E61" t="str">
        <f>IFERROR(
_xlfn.XLOOKUP(
A61,
RiskMatrix[Customer ID],#REF!
),
""
)</f>
        <v/>
      </c>
      <c r="F61" t="s">
        <v>436</v>
      </c>
      <c r="G61" t="s">
        <v>444</v>
      </c>
      <c r="H61" s="2">
        <f t="shared" ca="1" si="1"/>
        <v>46234</v>
      </c>
      <c r="I61" s="2">
        <v>46293</v>
      </c>
      <c r="J61" t="str">
        <f>_xlfn.LET(
_xlpm.AddressStatus,IFERROR(_xlfn.XLOOKUP(A61,tblCIP[Customer ID],tblCIP[Address Verified]),""),
_xlpm.SOWStatus,IFERROR(_xlfn.XLOOKUP(A61,tblScreening[Customer ID],tblScreening[Source of Wealth Obtained]),""),
IF(
AND(_xlpm.AddressStatus="Yes",_xlpm.SOWStatus="Yes"),
"None",
_xlfn.TEXTJOIN("; ",TRUE,
IF(_xlpm.AddressStatus="No","Proof of Address",""),
IF(_xlpm.SOWStatus="No","Source of Wealth","")
)
)
)</f>
        <v>None</v>
      </c>
      <c r="L61" t="s">
        <v>437</v>
      </c>
      <c r="M61" t="str">
        <f t="shared" si="0"/>
        <v>Approved</v>
      </c>
      <c r="N61" t="str" cm="1">
        <f t="array" ref="N61">_xlfn.IFS(
M61="Approved","Open Account",
M61="Rejected","Do Not Onboard",
M61="Escalated","Pending Review",
TRUE,"Awaiting Decision"
)</f>
        <v>Open Account</v>
      </c>
      <c r="O61" t="str" cm="1">
        <f t="array" ref="O61">_xlfn.IFS(
N61="Open Account","Customer approved and account opened.",
M61="Approved","Approved by MLRO. Awaiting account activation.",
M61="Rejected","Customer rejected after compliance review.",
M61="Escalated","Escalated for enhanced due diligence.",
G61="Awaiting Customer","Awaiting additional customer documentation.",
G61="In Progress","Compliance review currently in progress.",
G61="Completed","Compliance review completed. Awaiting MLRO decision.",
TRUE,"Case created and pending analyst review."
)</f>
        <v>Customer approved and account opened.</v>
      </c>
    </row>
    <row r="62" spans="1:15" x14ac:dyDescent="0.25">
      <c r="A62" t="s">
        <v>165</v>
      </c>
      <c r="B62" t="str">
        <f>IFERROR(
_xlfn.XLOOKUP(
A62,
tblCustomers[Customer ID],
tblCustomers[Full Name]
),
""
)</f>
        <v>Emeka Brown</v>
      </c>
      <c r="C62" t="str">
        <f>IFERROR(
_xlfn.XLOOKUP(
A62,
RiskMatrix[Customer ID],
RiskMatrix[Risk Rating]
),
""
)</f>
        <v>Medium</v>
      </c>
      <c r="D62" t="str">
        <f>IFERROR(
_xlfn.XLOOKUP(
A62,
RiskMatrix[Customer ID],
RiskMatrix[Due Diligence Tier]
),
""
)</f>
        <v>CDD</v>
      </c>
      <c r="E62" t="str">
        <f>IFERROR(
_xlfn.XLOOKUP(
A62,
RiskMatrix[Customer ID],#REF!
),
""
)</f>
        <v/>
      </c>
      <c r="F62" t="s">
        <v>436</v>
      </c>
      <c r="G62" t="s">
        <v>444</v>
      </c>
      <c r="H62" s="2">
        <f t="shared" ca="1" si="1"/>
        <v>46234</v>
      </c>
      <c r="I62" s="2">
        <v>46294</v>
      </c>
      <c r="J62" t="str">
        <f>_xlfn.LET(
_xlpm.AddressStatus,IFERROR(_xlfn.XLOOKUP(A62,tblCIP[Customer ID],tblCIP[Address Verified]),""),
_xlpm.SOWStatus,IFERROR(_xlfn.XLOOKUP(A62,tblScreening[Customer ID],tblScreening[Source of Wealth Obtained]),""),
IF(
AND(_xlpm.AddressStatus="Yes",_xlpm.SOWStatus="Yes"),
"None",
_xlfn.TEXTJOIN("; ",TRUE,
IF(_xlpm.AddressStatus="No","Proof of Address",""),
IF(_xlpm.SOWStatus="No","Source of Wealth","")
)
)
)</f>
        <v>None</v>
      </c>
      <c r="L62" t="s">
        <v>437</v>
      </c>
      <c r="M62" t="str">
        <f t="shared" si="0"/>
        <v>Approved</v>
      </c>
      <c r="N62" t="str" cm="1">
        <f t="array" ref="N62">_xlfn.IFS(
M62="Approved","Open Account",
M62="Rejected","Do Not Onboard",
M62="Escalated","Pending Review",
TRUE,"Awaiting Decision"
)</f>
        <v>Open Account</v>
      </c>
      <c r="O62" t="str" cm="1">
        <f t="array" ref="O62">_xlfn.IFS(
N62="Open Account","Customer approved and account opened.",
M62="Approved","Approved by MLRO. Awaiting account activation.",
M62="Rejected","Customer rejected after compliance review.",
M62="Escalated","Escalated for enhanced due diligence.",
G62="Awaiting Customer","Awaiting additional customer documentation.",
G62="In Progress","Compliance review currently in progress.",
G62="Completed","Compliance review completed. Awaiting MLRO decision.",
TRUE,"Case created and pending analyst review."
)</f>
        <v>Customer approved and account opened.</v>
      </c>
    </row>
    <row r="63" spans="1:15" x14ac:dyDescent="0.25">
      <c r="A63" t="s">
        <v>167</v>
      </c>
      <c r="B63" t="str">
        <f>IFERROR(
_xlfn.XLOOKUP(
A63,
tblCustomers[Customer ID],
tblCustomers[Full Name]
),
""
)</f>
        <v>Tunde Johnson</v>
      </c>
      <c r="C63" t="str">
        <f>IFERROR(
_xlfn.XLOOKUP(
A63,
RiskMatrix[Customer ID],
RiskMatrix[Risk Rating]
),
""
)</f>
        <v>Medium</v>
      </c>
      <c r="D63" t="str">
        <f>IFERROR(
_xlfn.XLOOKUP(
A63,
RiskMatrix[Customer ID],
RiskMatrix[Due Diligence Tier]
),
""
)</f>
        <v>CDD</v>
      </c>
      <c r="E63" t="str">
        <f>IFERROR(
_xlfn.XLOOKUP(
A63,
RiskMatrix[Customer ID],#REF!
),
""
)</f>
        <v/>
      </c>
      <c r="F63" t="s">
        <v>436</v>
      </c>
      <c r="G63" t="s">
        <v>444</v>
      </c>
      <c r="H63" s="2">
        <f t="shared" ca="1" si="1"/>
        <v>46234</v>
      </c>
      <c r="I63" s="2">
        <v>46295</v>
      </c>
      <c r="J63" t="str">
        <f>_xlfn.LET(
_xlpm.AddressStatus,IFERROR(_xlfn.XLOOKUP(A63,tblCIP[Customer ID],tblCIP[Address Verified]),""),
_xlpm.SOWStatus,IFERROR(_xlfn.XLOOKUP(A63,tblScreening[Customer ID],tblScreening[Source of Wealth Obtained]),""),
IF(
AND(_xlpm.AddressStatus="Yes",_xlpm.SOWStatus="Yes"),
"None",
_xlfn.TEXTJOIN("; ",TRUE,
IF(_xlpm.AddressStatus="No","Proof of Address",""),
IF(_xlpm.SOWStatus="No","Source of Wealth","")
)
)
)</f>
        <v>None</v>
      </c>
      <c r="L63" t="s">
        <v>437</v>
      </c>
      <c r="M63" t="str">
        <f t="shared" si="0"/>
        <v>Approved</v>
      </c>
      <c r="N63" t="str" cm="1">
        <f t="array" ref="N63">_xlfn.IFS(
M63="Approved","Open Account",
M63="Rejected","Do Not Onboard",
M63="Escalated","Pending Review",
TRUE,"Awaiting Decision"
)</f>
        <v>Open Account</v>
      </c>
      <c r="O63" t="str" cm="1">
        <f t="array" ref="O63">_xlfn.IFS(
N63="Open Account","Customer approved and account opened.",
M63="Approved","Approved by MLRO. Awaiting account activation.",
M63="Rejected","Customer rejected after compliance review.",
M63="Escalated","Escalated for enhanced due diligence.",
G63="Awaiting Customer","Awaiting additional customer documentation.",
G63="In Progress","Compliance review currently in progress.",
G63="Completed","Compliance review completed. Awaiting MLRO decision.",
TRUE,"Case created and pending analyst review."
)</f>
        <v>Customer approved and account opened.</v>
      </c>
    </row>
    <row r="64" spans="1:15" x14ac:dyDescent="0.25">
      <c r="A64" t="s">
        <v>169</v>
      </c>
      <c r="B64" t="str">
        <f>IFERROR(
_xlfn.XLOOKUP(
A64,
tblCustomers[Customer ID],
tblCustomers[Full Name]
),
""
)</f>
        <v>Ruth Obi</v>
      </c>
      <c r="C64" t="str">
        <f>IFERROR(
_xlfn.XLOOKUP(
A64,
RiskMatrix[Customer ID],
RiskMatrix[Risk Rating]
),
""
)</f>
        <v>Medium</v>
      </c>
      <c r="D64" t="str">
        <f>IFERROR(
_xlfn.XLOOKUP(
A64,
RiskMatrix[Customer ID],
RiskMatrix[Due Diligence Tier]
),
""
)</f>
        <v>CDD</v>
      </c>
      <c r="E64" t="str">
        <f>IFERROR(
_xlfn.XLOOKUP(
A64,
RiskMatrix[Customer ID],#REF!
),
""
)</f>
        <v/>
      </c>
      <c r="F64" t="s">
        <v>436</v>
      </c>
      <c r="G64" t="s">
        <v>444</v>
      </c>
      <c r="H64" s="2">
        <f t="shared" ca="1" si="1"/>
        <v>46234</v>
      </c>
      <c r="I64" s="2">
        <v>46296</v>
      </c>
      <c r="J64" t="str">
        <f>_xlfn.LET(
_xlpm.AddressStatus,IFERROR(_xlfn.XLOOKUP(A64,tblCIP[Customer ID],tblCIP[Address Verified]),""),
_xlpm.SOWStatus,IFERROR(_xlfn.XLOOKUP(A64,tblScreening[Customer ID],tblScreening[Source of Wealth Obtained]),""),
IF(
AND(_xlpm.AddressStatus="Yes",_xlpm.SOWStatus="Yes"),
"None",
_xlfn.TEXTJOIN("; ",TRUE,
IF(_xlpm.AddressStatus="No","Proof of Address",""),
IF(_xlpm.SOWStatus="No","Source of Wealth","")
)
)
)</f>
        <v>None</v>
      </c>
      <c r="L64" t="s">
        <v>437</v>
      </c>
      <c r="M64" t="str">
        <f t="shared" si="0"/>
        <v>Approved</v>
      </c>
      <c r="N64" t="str" cm="1">
        <f t="array" ref="N64">_xlfn.IFS(
M64="Approved","Open Account",
M64="Rejected","Do Not Onboard",
M64="Escalated","Pending Review",
TRUE,"Awaiting Decision"
)</f>
        <v>Open Account</v>
      </c>
      <c r="O64" t="str" cm="1">
        <f t="array" ref="O64">_xlfn.IFS(
N64="Open Account","Customer approved and account opened.",
M64="Approved","Approved by MLRO. Awaiting account activation.",
M64="Rejected","Customer rejected after compliance review.",
M64="Escalated","Escalated for enhanced due diligence.",
G64="Awaiting Customer","Awaiting additional customer documentation.",
G64="In Progress","Compliance review currently in progress.",
G64="Completed","Compliance review completed. Awaiting MLRO decision.",
TRUE,"Case created and pending analyst review."
)</f>
        <v>Customer approved and account opened.</v>
      </c>
    </row>
    <row r="65" spans="1:15" x14ac:dyDescent="0.25">
      <c r="A65" t="s">
        <v>171</v>
      </c>
      <c r="B65" t="str">
        <f>IFERROR(
_xlfn.XLOOKUP(
A65,
tblCustomers[Customer ID],
tblCustomers[Full Name]
),
""
)</f>
        <v>Mary Smith</v>
      </c>
      <c r="C65" t="str">
        <f>IFERROR(
_xlfn.XLOOKUP(
A65,
RiskMatrix[Customer ID],
RiskMatrix[Risk Rating]
),
""
)</f>
        <v>Medium</v>
      </c>
      <c r="D65" t="str">
        <f>IFERROR(
_xlfn.XLOOKUP(
A65,
RiskMatrix[Customer ID],
RiskMatrix[Due Diligence Tier]
),
""
)</f>
        <v>CDD</v>
      </c>
      <c r="E65" t="str">
        <f>IFERROR(
_xlfn.XLOOKUP(
A65,
RiskMatrix[Customer ID],#REF!
),
""
)</f>
        <v/>
      </c>
      <c r="F65" t="s">
        <v>436</v>
      </c>
      <c r="G65" t="s">
        <v>444</v>
      </c>
      <c r="H65" s="2">
        <f t="shared" ca="1" si="1"/>
        <v>46234</v>
      </c>
      <c r="I65" s="2">
        <v>46297</v>
      </c>
      <c r="J65" t="str">
        <f>_xlfn.LET(
_xlpm.AddressStatus,IFERROR(_xlfn.XLOOKUP(A65,tblCIP[Customer ID],tblCIP[Address Verified]),""),
_xlpm.SOWStatus,IFERROR(_xlfn.XLOOKUP(A65,tblScreening[Customer ID],tblScreening[Source of Wealth Obtained]),""),
IF(
AND(_xlpm.AddressStatus="Yes",_xlpm.SOWStatus="Yes"),
"None",
_xlfn.TEXTJOIN("; ",TRUE,
IF(_xlpm.AddressStatus="No","Proof of Address",""),
IF(_xlpm.SOWStatus="No","Source of Wealth","")
)
)
)</f>
        <v>None</v>
      </c>
      <c r="L65" t="s">
        <v>437</v>
      </c>
      <c r="M65" t="str">
        <f t="shared" si="0"/>
        <v>Approved</v>
      </c>
      <c r="N65" t="str" cm="1">
        <f t="array" ref="N65">_xlfn.IFS(
M65="Approved","Open Account",
M65="Rejected","Do Not Onboard",
M65="Escalated","Pending Review",
TRUE,"Awaiting Decision"
)</f>
        <v>Open Account</v>
      </c>
      <c r="O65" t="str" cm="1">
        <f t="array" ref="O65">_xlfn.IFS(
N65="Open Account","Customer approved and account opened.",
M65="Approved","Approved by MLRO. Awaiting account activation.",
M65="Rejected","Customer rejected after compliance review.",
M65="Escalated","Escalated for enhanced due diligence.",
G65="Awaiting Customer","Awaiting additional customer documentation.",
G65="In Progress","Compliance review currently in progress.",
G65="Completed","Compliance review completed. Awaiting MLRO decision.",
TRUE,"Case created and pending analyst review."
)</f>
        <v>Customer approved and account opened.</v>
      </c>
    </row>
    <row r="66" spans="1:15" x14ac:dyDescent="0.25">
      <c r="A66" t="s">
        <v>172</v>
      </c>
      <c r="B66" t="str">
        <f>IFERROR(
_xlfn.XLOOKUP(
A66,
tblCustomers[Customer ID],
tblCustomers[Full Name]
),
""
)</f>
        <v>Ruth Adebayo</v>
      </c>
      <c r="C66" t="str">
        <f>IFERROR(
_xlfn.XLOOKUP(
A66,
RiskMatrix[Customer ID],
RiskMatrix[Risk Rating]
),
""
)</f>
        <v>Low</v>
      </c>
      <c r="D66" t="str">
        <f>IFERROR(
_xlfn.XLOOKUP(
A66,
RiskMatrix[Customer ID],
RiskMatrix[Due Diligence Tier]
),
""
)</f>
        <v>SDD</v>
      </c>
      <c r="E66" t="str">
        <f>IFERROR(
_xlfn.XLOOKUP(
A66,
RiskMatrix[Customer ID],#REF!
),
""
)</f>
        <v/>
      </c>
      <c r="F66" t="s">
        <v>436</v>
      </c>
      <c r="G66" t="s">
        <v>444</v>
      </c>
      <c r="H66" s="2">
        <f t="shared" ca="1" si="1"/>
        <v>46234</v>
      </c>
      <c r="I66" s="2">
        <v>46298</v>
      </c>
      <c r="J66" t="str">
        <f>_xlfn.LET(
_xlpm.AddressStatus,IFERROR(_xlfn.XLOOKUP(A66,tblCIP[Customer ID],tblCIP[Address Verified]),""),
_xlpm.SOWStatus,IFERROR(_xlfn.XLOOKUP(A66,tblScreening[Customer ID],tblScreening[Source of Wealth Obtained]),""),
IF(
AND(_xlpm.AddressStatus="Yes",_xlpm.SOWStatus="Yes"),
"None",
_xlfn.TEXTJOIN("; ",TRUE,
IF(_xlpm.AddressStatus="No","Proof of Address",""),
IF(_xlpm.SOWStatus="No","Source of Wealth","")
)
)
)</f>
        <v>None</v>
      </c>
      <c r="L66" t="s">
        <v>437</v>
      </c>
      <c r="M66" t="str">
        <f t="shared" si="0"/>
        <v>Approved</v>
      </c>
      <c r="N66" t="str" cm="1">
        <f t="array" ref="N66">_xlfn.IFS(
M66="Approved","Open Account",
M66="Rejected","Do Not Onboard",
M66="Escalated","Pending Review",
TRUE,"Awaiting Decision"
)</f>
        <v>Open Account</v>
      </c>
      <c r="O66" t="str" cm="1">
        <f t="array" ref="O66">_xlfn.IFS(
N66="Open Account","Customer approved and account opened.",
M66="Approved","Approved by MLRO. Awaiting account activation.",
M66="Rejected","Customer rejected after compliance review.",
M66="Escalated","Escalated for enhanced due diligence.",
G66="Awaiting Customer","Awaiting additional customer documentation.",
G66="In Progress","Compliance review currently in progress.",
G66="Completed","Compliance review completed. Awaiting MLRO decision.",
TRUE,"Case created and pending analyst review."
)</f>
        <v>Customer approved and account opened.</v>
      </c>
    </row>
    <row r="67" spans="1:15" x14ac:dyDescent="0.25">
      <c r="A67" t="s">
        <v>174</v>
      </c>
      <c r="B67" t="str">
        <f>IFERROR(
_xlfn.XLOOKUP(
A67,
tblCustomers[Customer ID],
tblCustomers[Full Name]
),
""
)</f>
        <v>Mary Okeke</v>
      </c>
      <c r="C67" t="str">
        <f>IFERROR(
_xlfn.XLOOKUP(
A67,
RiskMatrix[Customer ID],
RiskMatrix[Risk Rating]
),
""
)</f>
        <v>Medium</v>
      </c>
      <c r="D67" t="str">
        <f>IFERROR(
_xlfn.XLOOKUP(
A67,
RiskMatrix[Customer ID],
RiskMatrix[Due Diligence Tier]
),
""
)</f>
        <v>EDD</v>
      </c>
      <c r="E67" t="str">
        <f>IFERROR(
_xlfn.XLOOKUP(
A67,
RiskMatrix[Customer ID],#REF!
),
""
)</f>
        <v/>
      </c>
      <c r="F67" t="s">
        <v>436</v>
      </c>
      <c r="G67" t="s">
        <v>444</v>
      </c>
      <c r="H67" s="2">
        <f t="shared" ref="H67:H101" ca="1" si="2">IF(
F67&lt;&gt;"",
TODAY(),
""
)</f>
        <v>46234</v>
      </c>
      <c r="I67" s="2">
        <v>46299</v>
      </c>
      <c r="J67" t="str">
        <f>_xlfn.LET(
_xlpm.AddressStatus,IFERROR(_xlfn.XLOOKUP(A67,tblCIP[Customer ID],tblCIP[Address Verified]),""),
_xlpm.SOWStatus,IFERROR(_xlfn.XLOOKUP(A67,tblScreening[Customer ID],tblScreening[Source of Wealth Obtained]),""),
IF(
AND(_xlpm.AddressStatus="Yes",_xlpm.SOWStatus="Yes"),
"None",
_xlfn.TEXTJOIN("; ",TRUE,
IF(_xlpm.AddressStatus="No","Proof of Address",""),
IF(_xlpm.SOWStatus="No","Source of Wealth","")
)
)
)</f>
        <v>Source of Wealth</v>
      </c>
      <c r="L67" t="s">
        <v>438</v>
      </c>
      <c r="M67" t="str">
        <f t="shared" ref="M67:M101" si="3">_xlfn.IFS(L67="Approved","Approved",L67="Declined","Rejected",L67="Further Review","Escalated",TRUE,"Pending")</f>
        <v>Escalated</v>
      </c>
      <c r="N67" t="str" cm="1">
        <f t="array" ref="N67">_xlfn.IFS(
M67="Approved","Open Account",
M67="Rejected","Do Not Onboard",
M67="Escalated","Pending Review",
TRUE,"Awaiting Decision"
)</f>
        <v>Pending Review</v>
      </c>
      <c r="O67" t="str" cm="1">
        <f t="array" ref="O67">_xlfn.IFS(
N67="Open Account","Customer approved and account opened.",
M67="Approved","Approved by MLRO. Awaiting account activation.",
M67="Rejected","Customer rejected after compliance review.",
M67="Escalated","Escalated for enhanced due diligence.",
G67="Awaiting Customer","Awaiting additional customer documentation.",
G67="In Progress","Compliance review currently in progress.",
G67="Completed","Compliance review completed. Awaiting MLRO decision.",
TRUE,"Case created and pending analyst review."
)</f>
        <v>Escalated for enhanced due diligence.</v>
      </c>
    </row>
    <row r="68" spans="1:15" x14ac:dyDescent="0.25">
      <c r="A68" t="s">
        <v>176</v>
      </c>
      <c r="B68" t="str">
        <f>IFERROR(
_xlfn.XLOOKUP(
A68,
tblCustomers[Customer ID],
tblCustomers[Full Name]
),
""
)</f>
        <v>Michael Ali</v>
      </c>
      <c r="C68" t="str">
        <f>IFERROR(
_xlfn.XLOOKUP(
A68,
RiskMatrix[Customer ID],
RiskMatrix[Risk Rating]
),
""
)</f>
        <v>Low</v>
      </c>
      <c r="D68" t="str">
        <f>IFERROR(
_xlfn.XLOOKUP(
A68,
RiskMatrix[Customer ID],
RiskMatrix[Due Diligence Tier]
),
""
)</f>
        <v>SDD</v>
      </c>
      <c r="E68" t="str">
        <f>IFERROR(
_xlfn.XLOOKUP(
A68,
RiskMatrix[Customer ID],#REF!
),
""
)</f>
        <v/>
      </c>
      <c r="F68" t="s">
        <v>436</v>
      </c>
      <c r="G68" t="s">
        <v>444</v>
      </c>
      <c r="H68" s="2">
        <f t="shared" ca="1" si="2"/>
        <v>46234</v>
      </c>
      <c r="I68" s="2">
        <v>46300</v>
      </c>
      <c r="J68" t="str">
        <f>_xlfn.LET(
_xlpm.AddressStatus,IFERROR(_xlfn.XLOOKUP(A68,tblCIP[Customer ID],tblCIP[Address Verified]),""),
_xlpm.SOWStatus,IFERROR(_xlfn.XLOOKUP(A68,tblScreening[Customer ID],tblScreening[Source of Wealth Obtained]),""),
IF(
AND(_xlpm.AddressStatus="Yes",_xlpm.SOWStatus="Yes"),
"None",
_xlfn.TEXTJOIN("; ",TRUE,
IF(_xlpm.AddressStatus="No","Proof of Address",""),
IF(_xlpm.SOWStatus="No","Source of Wealth","")
)
)
)</f>
        <v>None</v>
      </c>
      <c r="L68" t="s">
        <v>437</v>
      </c>
      <c r="M68" t="str">
        <f t="shared" si="3"/>
        <v>Approved</v>
      </c>
      <c r="N68" t="str" cm="1">
        <f t="array" ref="N68">_xlfn.IFS(
M68="Approved","Open Account",
M68="Rejected","Do Not Onboard",
M68="Escalated","Pending Review",
TRUE,"Awaiting Decision"
)</f>
        <v>Open Account</v>
      </c>
      <c r="O68" t="str" cm="1">
        <f t="array" ref="O68">_xlfn.IFS(
N68="Open Account","Customer approved and account opened.",
M68="Approved","Approved by MLRO. Awaiting account activation.",
M68="Rejected","Customer rejected after compliance review.",
M68="Escalated","Escalated for enhanced due diligence.",
G68="Awaiting Customer","Awaiting additional customer documentation.",
G68="In Progress","Compliance review currently in progress.",
G68="Completed","Compliance review completed. Awaiting MLRO decision.",
TRUE,"Case created and pending analyst review."
)</f>
        <v>Customer approved and account opened.</v>
      </c>
    </row>
    <row r="69" spans="1:15" x14ac:dyDescent="0.25">
      <c r="A69" t="s">
        <v>178</v>
      </c>
      <c r="B69" t="str">
        <f>IFERROR(
_xlfn.XLOOKUP(
A69,
tblCustomers[Customer ID],
tblCustomers[Full Name]
),
""
)</f>
        <v>Grace Adeyemi</v>
      </c>
      <c r="C69" t="str">
        <f>IFERROR(
_xlfn.XLOOKUP(
A69,
RiskMatrix[Customer ID],
RiskMatrix[Risk Rating]
),
""
)</f>
        <v>Low</v>
      </c>
      <c r="D69" t="str">
        <f>IFERROR(
_xlfn.XLOOKUP(
A69,
RiskMatrix[Customer ID],
RiskMatrix[Due Diligence Tier]
),
""
)</f>
        <v>SDD</v>
      </c>
      <c r="E69" t="str">
        <f>IFERROR(
_xlfn.XLOOKUP(
A69,
RiskMatrix[Customer ID],#REF!
),
""
)</f>
        <v/>
      </c>
      <c r="F69" t="s">
        <v>436</v>
      </c>
      <c r="G69" t="s">
        <v>444</v>
      </c>
      <c r="H69" s="2">
        <f t="shared" ca="1" si="2"/>
        <v>46234</v>
      </c>
      <c r="I69" s="2">
        <v>46301</v>
      </c>
      <c r="J69" t="str">
        <f>_xlfn.LET(
_xlpm.AddressStatus,IFERROR(_xlfn.XLOOKUP(A69,tblCIP[Customer ID],tblCIP[Address Verified]),""),
_xlpm.SOWStatus,IFERROR(_xlfn.XLOOKUP(A69,tblScreening[Customer ID],tblScreening[Source of Wealth Obtained]),""),
IF(
AND(_xlpm.AddressStatus="Yes",_xlpm.SOWStatus="Yes"),
"None",
_xlfn.TEXTJOIN("; ",TRUE,
IF(_xlpm.AddressStatus="No","Proof of Address",""),
IF(_xlpm.SOWStatus="No","Source of Wealth","")
)
)
)</f>
        <v>None</v>
      </c>
      <c r="L69" t="s">
        <v>437</v>
      </c>
      <c r="M69" t="str">
        <f t="shared" si="3"/>
        <v>Approved</v>
      </c>
      <c r="N69" t="str" cm="1">
        <f t="array" ref="N69">_xlfn.IFS(
M69="Approved","Open Account",
M69="Rejected","Do Not Onboard",
M69="Escalated","Pending Review",
TRUE,"Awaiting Decision"
)</f>
        <v>Open Account</v>
      </c>
      <c r="O69" t="str" cm="1">
        <f t="array" ref="O69">_xlfn.IFS(
N69="Open Account","Customer approved and account opened.",
M69="Approved","Approved by MLRO. Awaiting account activation.",
M69="Rejected","Customer rejected after compliance review.",
M69="Escalated","Escalated for enhanced due diligence.",
G69="Awaiting Customer","Awaiting additional customer documentation.",
G69="In Progress","Compliance review currently in progress.",
G69="Completed","Compliance review completed. Awaiting MLRO decision.",
TRUE,"Case created and pending analyst review."
)</f>
        <v>Customer approved and account opened.</v>
      </c>
    </row>
    <row r="70" spans="1:15" x14ac:dyDescent="0.25">
      <c r="A70" t="s">
        <v>180</v>
      </c>
      <c r="B70" t="str">
        <f>IFERROR(
_xlfn.XLOOKUP(
A70,
tblCustomers[Customer ID],
tblCustomers[Full Name]
),
""
)</f>
        <v>Zainab Mohammed</v>
      </c>
      <c r="C70" t="str">
        <f>IFERROR(
_xlfn.XLOOKUP(
A70,
RiskMatrix[Customer ID],
RiskMatrix[Risk Rating]
),
""
)</f>
        <v>Low</v>
      </c>
      <c r="D70" t="str">
        <f>IFERROR(
_xlfn.XLOOKUP(
A70,
RiskMatrix[Customer ID],
RiskMatrix[Due Diligence Tier]
),
""
)</f>
        <v>EDD</v>
      </c>
      <c r="E70" t="str">
        <f>IFERROR(
_xlfn.XLOOKUP(
A70,
RiskMatrix[Customer ID],#REF!
),
""
)</f>
        <v/>
      </c>
      <c r="F70" t="s">
        <v>436</v>
      </c>
      <c r="G70" t="s">
        <v>444</v>
      </c>
      <c r="H70" s="2">
        <f t="shared" ca="1" si="2"/>
        <v>46234</v>
      </c>
      <c r="I70" s="2">
        <v>46302</v>
      </c>
      <c r="J70" t="str">
        <f>_xlfn.LET(
_xlpm.AddressStatus,IFERROR(_xlfn.XLOOKUP(A70,tblCIP[Customer ID],tblCIP[Address Verified]),""),
_xlpm.SOWStatus,IFERROR(_xlfn.XLOOKUP(A70,tblScreening[Customer ID],tblScreening[Source of Wealth Obtained]),""),
IF(
AND(_xlpm.AddressStatus="Yes",_xlpm.SOWStatus="Yes"),
"None",
_xlfn.TEXTJOIN("; ",TRUE,
IF(_xlpm.AddressStatus="No","Proof of Address",""),
IF(_xlpm.SOWStatus="No","Source of Wealth","")
)
)
)</f>
        <v>Source of Wealth</v>
      </c>
      <c r="L70" t="s">
        <v>438</v>
      </c>
      <c r="M70" t="str">
        <f t="shared" si="3"/>
        <v>Escalated</v>
      </c>
      <c r="N70" t="str" cm="1">
        <f t="array" ref="N70">_xlfn.IFS(
M70="Approved","Open Account",
M70="Rejected","Do Not Onboard",
M70="Escalated","Pending Review",
TRUE,"Awaiting Decision"
)</f>
        <v>Pending Review</v>
      </c>
      <c r="O70" t="str" cm="1">
        <f t="array" ref="O70">_xlfn.IFS(
N70="Open Account","Customer approved and account opened.",
M70="Approved","Approved by MLRO. Awaiting account activation.",
M70="Rejected","Customer rejected after compliance review.",
M70="Escalated","Escalated for enhanced due diligence.",
G70="Awaiting Customer","Awaiting additional customer documentation.",
G70="In Progress","Compliance review currently in progress.",
G70="Completed","Compliance review completed. Awaiting MLRO decision.",
TRUE,"Case created and pending analyst review."
)</f>
        <v>Escalated for enhanced due diligence.</v>
      </c>
    </row>
    <row r="71" spans="1:15" x14ac:dyDescent="0.25">
      <c r="A71" t="s">
        <v>182</v>
      </c>
      <c r="B71" t="str">
        <f>IFERROR(
_xlfn.XLOOKUP(
A71,
tblCustomers[Customer ID],
tblCustomers[Full Name]
),
""
)</f>
        <v>Ibrahim Suleiman</v>
      </c>
      <c r="C71" t="str">
        <f>IFERROR(
_xlfn.XLOOKUP(
A71,
RiskMatrix[Customer ID],
RiskMatrix[Risk Rating]
),
""
)</f>
        <v>Medium</v>
      </c>
      <c r="D71" t="str">
        <f>IFERROR(
_xlfn.XLOOKUP(
A71,
RiskMatrix[Customer ID],
RiskMatrix[Due Diligence Tier]
),
""
)</f>
        <v>CDD</v>
      </c>
      <c r="E71" t="str">
        <f>IFERROR(
_xlfn.XLOOKUP(
A71,
RiskMatrix[Customer ID],#REF!
),
""
)</f>
        <v/>
      </c>
      <c r="F71" t="s">
        <v>436</v>
      </c>
      <c r="G71" t="s">
        <v>444</v>
      </c>
      <c r="H71" s="2">
        <f t="shared" ca="1" si="2"/>
        <v>46234</v>
      </c>
      <c r="I71" s="2">
        <v>46303</v>
      </c>
      <c r="J71" t="str">
        <f>_xlfn.LET(
_xlpm.AddressStatus,IFERROR(_xlfn.XLOOKUP(A71,tblCIP[Customer ID],tblCIP[Address Verified]),""),
_xlpm.SOWStatus,IFERROR(_xlfn.XLOOKUP(A71,tblScreening[Customer ID],tblScreening[Source of Wealth Obtained]),""),
IF(
AND(_xlpm.AddressStatus="Yes",_xlpm.SOWStatus="Yes"),
"None",
_xlfn.TEXTJOIN("; ",TRUE,
IF(_xlpm.AddressStatus="No","Proof of Address",""),
IF(_xlpm.SOWStatus="No","Source of Wealth","")
)
)
)</f>
        <v>None</v>
      </c>
      <c r="L71" t="s">
        <v>437</v>
      </c>
      <c r="M71" t="str">
        <f t="shared" si="3"/>
        <v>Approved</v>
      </c>
      <c r="N71" t="str" cm="1">
        <f t="array" ref="N71">_xlfn.IFS(
M71="Approved","Open Account",
M71="Rejected","Do Not Onboard",
M71="Escalated","Pending Review",
TRUE,"Awaiting Decision"
)</f>
        <v>Open Account</v>
      </c>
      <c r="O71" t="str" cm="1">
        <f t="array" ref="O71">_xlfn.IFS(
N71="Open Account","Customer approved and account opened.",
M71="Approved","Approved by MLRO. Awaiting account activation.",
M71="Rejected","Customer rejected after compliance review.",
M71="Escalated","Escalated for enhanced due diligence.",
G71="Awaiting Customer","Awaiting additional customer documentation.",
G71="In Progress","Compliance review currently in progress.",
G71="Completed","Compliance review completed. Awaiting MLRO decision.",
TRUE,"Case created and pending analyst review."
)</f>
        <v>Customer approved and account opened.</v>
      </c>
    </row>
    <row r="72" spans="1:15" x14ac:dyDescent="0.25">
      <c r="A72" t="s">
        <v>184</v>
      </c>
      <c r="B72" t="str">
        <f>IFERROR(
_xlfn.XLOOKUP(
A72,
tblCustomers[Customer ID],
tblCustomers[Full Name]
),
""
)</f>
        <v>Apex Logistics Ltd</v>
      </c>
      <c r="C72" t="str">
        <f>IFERROR(
_xlfn.XLOOKUP(
A72,
RiskMatrix[Customer ID],
RiskMatrix[Risk Rating]
),
""
)</f>
        <v>Medium</v>
      </c>
      <c r="D72" t="str">
        <f>IFERROR(
_xlfn.XLOOKUP(
A72,
RiskMatrix[Customer ID],
RiskMatrix[Due Diligence Tier]
),
""
)</f>
        <v>CDD</v>
      </c>
      <c r="E72" t="str">
        <f>IFERROR(
_xlfn.XLOOKUP(
A72,
RiskMatrix[Customer ID],#REF!
),
""
)</f>
        <v/>
      </c>
      <c r="F72" t="s">
        <v>436</v>
      </c>
      <c r="G72" t="s">
        <v>444</v>
      </c>
      <c r="H72" s="2">
        <f t="shared" ca="1" si="2"/>
        <v>46234</v>
      </c>
      <c r="I72" s="2">
        <v>46304</v>
      </c>
      <c r="J72" t="str">
        <f>_xlfn.LET(
_xlpm.AddressStatus,IFERROR(_xlfn.XLOOKUP(A72,tblCIP[Customer ID],tblCIP[Address Verified]),""),
_xlpm.SOWStatus,IFERROR(_xlfn.XLOOKUP(A72,tblScreening[Customer ID],tblScreening[Source of Wealth Obtained]),""),
IF(
AND(_xlpm.AddressStatus="Yes",_xlpm.SOWStatus="Yes"),
"None",
_xlfn.TEXTJOIN("; ",TRUE,
IF(_xlpm.AddressStatus="No","Proof of Address",""),
IF(_xlpm.SOWStatus="No","Source of Wealth","")
)
)
)</f>
        <v>None</v>
      </c>
      <c r="L72" t="s">
        <v>437</v>
      </c>
      <c r="M72" t="str">
        <f t="shared" si="3"/>
        <v>Approved</v>
      </c>
      <c r="N72" t="str" cm="1">
        <f t="array" ref="N72">_xlfn.IFS(
M72="Approved","Open Account",
M72="Rejected","Do Not Onboard",
M72="Escalated","Pending Review",
TRUE,"Awaiting Decision"
)</f>
        <v>Open Account</v>
      </c>
      <c r="O72" t="str" cm="1">
        <f t="array" ref="O72">_xlfn.IFS(
N72="Open Account","Customer approved and account opened.",
M72="Approved","Approved by MLRO. Awaiting account activation.",
M72="Rejected","Customer rejected after compliance review.",
M72="Escalated","Escalated for enhanced due diligence.",
G72="Awaiting Customer","Awaiting additional customer documentation.",
G72="In Progress","Compliance review currently in progress.",
G72="Completed","Compliance review completed. Awaiting MLRO decision.",
TRUE,"Case created and pending analyst review."
)</f>
        <v>Customer approved and account opened.</v>
      </c>
    </row>
    <row r="73" spans="1:15" x14ac:dyDescent="0.25">
      <c r="A73" t="s">
        <v>188</v>
      </c>
      <c r="B73" t="str">
        <f>IFERROR(
_xlfn.XLOOKUP(
A73,
tblCustomers[Customer ID],
tblCustomers[Full Name]
),
""
)</f>
        <v>Apex Logistics Ltd</v>
      </c>
      <c r="C73" t="str">
        <f>IFERROR(
_xlfn.XLOOKUP(
A73,
RiskMatrix[Customer ID],
RiskMatrix[Risk Rating]
),
""
)</f>
        <v>Low</v>
      </c>
      <c r="D73" t="str">
        <f>IFERROR(
_xlfn.XLOOKUP(
A73,
RiskMatrix[Customer ID],
RiskMatrix[Due Diligence Tier]
),
""
)</f>
        <v>EDD</v>
      </c>
      <c r="E73" t="str">
        <f>IFERROR(
_xlfn.XLOOKUP(
A73,
RiskMatrix[Customer ID],#REF!
),
""
)</f>
        <v/>
      </c>
      <c r="F73" t="s">
        <v>436</v>
      </c>
      <c r="G73" t="s">
        <v>444</v>
      </c>
      <c r="H73" s="2">
        <f t="shared" ca="1" si="2"/>
        <v>46234</v>
      </c>
      <c r="I73" s="2">
        <v>46305</v>
      </c>
      <c r="J73" t="str">
        <f>_xlfn.LET(
_xlpm.AddressStatus,IFERROR(_xlfn.XLOOKUP(A73,tblCIP[Customer ID],tblCIP[Address Verified]),""),
_xlpm.SOWStatus,IFERROR(_xlfn.XLOOKUP(A73,tblScreening[Customer ID],tblScreening[Source of Wealth Obtained]),""),
IF(
AND(_xlpm.AddressStatus="Yes",_xlpm.SOWStatus="Yes"),
"None",
_xlfn.TEXTJOIN("; ",TRUE,
IF(_xlpm.AddressStatus="No","Proof of Address",""),
IF(_xlpm.SOWStatus="No","Source of Wealth","")
)
)
)</f>
        <v>Source of Wealth</v>
      </c>
      <c r="L73" t="s">
        <v>438</v>
      </c>
      <c r="M73" t="str">
        <f t="shared" si="3"/>
        <v>Escalated</v>
      </c>
      <c r="N73" t="str" cm="1">
        <f t="array" ref="N73">_xlfn.IFS(
M73="Approved","Open Account",
M73="Rejected","Do Not Onboard",
M73="Escalated","Pending Review",
TRUE,"Awaiting Decision"
)</f>
        <v>Pending Review</v>
      </c>
      <c r="O73" t="str" cm="1">
        <f t="array" ref="O73">_xlfn.IFS(
N73="Open Account","Customer approved and account opened.",
M73="Approved","Approved by MLRO. Awaiting account activation.",
M73="Rejected","Customer rejected after compliance review.",
M73="Escalated","Escalated for enhanced due diligence.",
G73="Awaiting Customer","Awaiting additional customer documentation.",
G73="In Progress","Compliance review currently in progress.",
G73="Completed","Compliance review completed. Awaiting MLRO decision.",
TRUE,"Case created and pending analyst review."
)</f>
        <v>Escalated for enhanced due diligence.</v>
      </c>
    </row>
    <row r="74" spans="1:15" x14ac:dyDescent="0.25">
      <c r="A74" t="s">
        <v>190</v>
      </c>
      <c r="B74" t="str">
        <f>IFERROR(
_xlfn.XLOOKUP(
A74,
tblCustomers[Customer ID],
tblCustomers[Full Name]
),
""
)</f>
        <v>Green Energy Ltd</v>
      </c>
      <c r="C74" t="str">
        <f>IFERROR(
_xlfn.XLOOKUP(
A74,
RiskMatrix[Customer ID],
RiskMatrix[Risk Rating]
),
""
)</f>
        <v>Medium</v>
      </c>
      <c r="D74" t="str">
        <f>IFERROR(
_xlfn.XLOOKUP(
A74,
RiskMatrix[Customer ID],
RiskMatrix[Due Diligence Tier]
),
""
)</f>
        <v>CDD</v>
      </c>
      <c r="E74" t="str">
        <f>IFERROR(
_xlfn.XLOOKUP(
A74,
RiskMatrix[Customer ID],#REF!
),
""
)</f>
        <v/>
      </c>
      <c r="F74" t="s">
        <v>436</v>
      </c>
      <c r="G74" t="s">
        <v>444</v>
      </c>
      <c r="H74" s="2">
        <f t="shared" ca="1" si="2"/>
        <v>46234</v>
      </c>
      <c r="I74" s="2">
        <v>46306</v>
      </c>
      <c r="J74" t="str">
        <f>_xlfn.LET(
_xlpm.AddressStatus,IFERROR(_xlfn.XLOOKUP(A74,tblCIP[Customer ID],tblCIP[Address Verified]),""),
_xlpm.SOWStatus,IFERROR(_xlfn.XLOOKUP(A74,tblScreening[Customer ID],tblScreening[Source of Wealth Obtained]),""),
IF(
AND(_xlpm.AddressStatus="Yes",_xlpm.SOWStatus="Yes"),
"None",
_xlfn.TEXTJOIN("; ",TRUE,
IF(_xlpm.AddressStatus="No","Proof of Address",""),
IF(_xlpm.SOWStatus="No","Source of Wealth","")
)
)
)</f>
        <v>None</v>
      </c>
      <c r="L74" t="s">
        <v>437</v>
      </c>
      <c r="M74" t="str">
        <f t="shared" si="3"/>
        <v>Approved</v>
      </c>
      <c r="N74" t="str" cm="1">
        <f t="array" ref="N74">_xlfn.IFS(
M74="Approved","Open Account",
M74="Rejected","Do Not Onboard",
M74="Escalated","Pending Review",
TRUE,"Awaiting Decision"
)</f>
        <v>Open Account</v>
      </c>
      <c r="O74" t="str" cm="1">
        <f t="array" ref="O74">_xlfn.IFS(
N74="Open Account","Customer approved and account opened.",
M74="Approved","Approved by MLRO. Awaiting account activation.",
M74="Rejected","Customer rejected after compliance review.",
M74="Escalated","Escalated for enhanced due diligence.",
G74="Awaiting Customer","Awaiting additional customer documentation.",
G74="In Progress","Compliance review currently in progress.",
G74="Completed","Compliance review completed. Awaiting MLRO decision.",
TRUE,"Case created and pending analyst review."
)</f>
        <v>Customer approved and account opened.</v>
      </c>
    </row>
    <row r="75" spans="1:15" x14ac:dyDescent="0.25">
      <c r="A75" t="s">
        <v>193</v>
      </c>
      <c r="B75" t="str">
        <f>IFERROR(
_xlfn.XLOOKUP(
A75,
tblCustomers[Customer ID],
tblCustomers[Full Name]
),
""
)</f>
        <v>Prime Logistics Ltd</v>
      </c>
      <c r="C75" t="str">
        <f>IFERROR(
_xlfn.XLOOKUP(
A75,
RiskMatrix[Customer ID],
RiskMatrix[Risk Rating]
),
""
)</f>
        <v>Medium</v>
      </c>
      <c r="D75" t="str">
        <f>IFERROR(
_xlfn.XLOOKUP(
A75,
RiskMatrix[Customer ID],
RiskMatrix[Due Diligence Tier]
),
""
)</f>
        <v>CDD</v>
      </c>
      <c r="E75" t="str">
        <f>IFERROR(
_xlfn.XLOOKUP(
A75,
RiskMatrix[Customer ID],#REF!
),
""
)</f>
        <v/>
      </c>
      <c r="F75" t="s">
        <v>436</v>
      </c>
      <c r="G75" t="s">
        <v>444</v>
      </c>
      <c r="H75" s="2">
        <f t="shared" ca="1" si="2"/>
        <v>46234</v>
      </c>
      <c r="I75" s="2">
        <v>46307</v>
      </c>
      <c r="J75" t="str">
        <f>_xlfn.LET(
_xlpm.AddressStatus,IFERROR(_xlfn.XLOOKUP(A75,tblCIP[Customer ID],tblCIP[Address Verified]),""),
_xlpm.SOWStatus,IFERROR(_xlfn.XLOOKUP(A75,tblScreening[Customer ID],tblScreening[Source of Wealth Obtained]),""),
IF(
AND(_xlpm.AddressStatus="Yes",_xlpm.SOWStatus="Yes"),
"None",
_xlfn.TEXTJOIN("; ",TRUE,
IF(_xlpm.AddressStatus="No","Proof of Address",""),
IF(_xlpm.SOWStatus="No","Source of Wealth","")
)
)
)</f>
        <v>None</v>
      </c>
      <c r="L75" t="s">
        <v>437</v>
      </c>
      <c r="M75" t="str">
        <f t="shared" si="3"/>
        <v>Approved</v>
      </c>
      <c r="N75" t="str" cm="1">
        <f t="array" ref="N75">_xlfn.IFS(
M75="Approved","Open Account",
M75="Rejected","Do Not Onboard",
M75="Escalated","Pending Review",
TRUE,"Awaiting Decision"
)</f>
        <v>Open Account</v>
      </c>
      <c r="O75" t="str" cm="1">
        <f t="array" ref="O75">_xlfn.IFS(
N75="Open Account","Customer approved and account opened.",
M75="Approved","Approved by MLRO. Awaiting account activation.",
M75="Rejected","Customer rejected after compliance review.",
M75="Escalated","Escalated for enhanced due diligence.",
G75="Awaiting Customer","Awaiting additional customer documentation.",
G75="In Progress","Compliance review currently in progress.",
G75="Completed","Compliance review completed. Awaiting MLRO decision.",
TRUE,"Case created and pending analyst review."
)</f>
        <v>Customer approved and account opened.</v>
      </c>
    </row>
    <row r="76" spans="1:15" x14ac:dyDescent="0.25">
      <c r="A76" t="s">
        <v>195</v>
      </c>
      <c r="B76" t="str">
        <f>IFERROR(
_xlfn.XLOOKUP(
A76,
tblCustomers[Customer ID],
tblCustomers[Full Name]
),
""
)</f>
        <v>Blue Logistics Ltd</v>
      </c>
      <c r="C76" t="str">
        <f>IFERROR(
_xlfn.XLOOKUP(
A76,
RiskMatrix[Customer ID],
RiskMatrix[Risk Rating]
),
""
)</f>
        <v>Medium</v>
      </c>
      <c r="D76" t="str">
        <f>IFERROR(
_xlfn.XLOOKUP(
A76,
RiskMatrix[Customer ID],
RiskMatrix[Due Diligence Tier]
),
""
)</f>
        <v>CDD</v>
      </c>
      <c r="E76" t="str">
        <f>IFERROR(
_xlfn.XLOOKUP(
A76,
RiskMatrix[Customer ID],#REF!
),
""
)</f>
        <v/>
      </c>
      <c r="F76" t="s">
        <v>436</v>
      </c>
      <c r="G76" t="s">
        <v>444</v>
      </c>
      <c r="H76" s="2">
        <f t="shared" ca="1" si="2"/>
        <v>46234</v>
      </c>
      <c r="I76" s="2">
        <v>46308</v>
      </c>
      <c r="J76" t="str">
        <f>_xlfn.LET(
_xlpm.AddressStatus,IFERROR(_xlfn.XLOOKUP(A76,tblCIP[Customer ID],tblCIP[Address Verified]),""),
_xlpm.SOWStatus,IFERROR(_xlfn.XLOOKUP(A76,tblScreening[Customer ID],tblScreening[Source of Wealth Obtained]),""),
IF(
AND(_xlpm.AddressStatus="Yes",_xlpm.SOWStatus="Yes"),
"None",
_xlfn.TEXTJOIN("; ",TRUE,
IF(_xlpm.AddressStatus="No","Proof of Address",""),
IF(_xlpm.SOWStatus="No","Source of Wealth","")
)
)
)</f>
        <v>None</v>
      </c>
      <c r="L76" t="s">
        <v>437</v>
      </c>
      <c r="M76" t="str">
        <f t="shared" si="3"/>
        <v>Approved</v>
      </c>
      <c r="N76" t="str" cm="1">
        <f t="array" ref="N76">_xlfn.IFS(
M76="Approved","Open Account",
M76="Rejected","Do Not Onboard",
M76="Escalated","Pending Review",
TRUE,"Awaiting Decision"
)</f>
        <v>Open Account</v>
      </c>
      <c r="O76" t="str" cm="1">
        <f t="array" ref="O76">_xlfn.IFS(
N76="Open Account","Customer approved and account opened.",
M76="Approved","Approved by MLRO. Awaiting account activation.",
M76="Rejected","Customer rejected after compliance review.",
M76="Escalated","Escalated for enhanced due diligence.",
G76="Awaiting Customer","Awaiting additional customer documentation.",
G76="In Progress","Compliance review currently in progress.",
G76="Completed","Compliance review completed. Awaiting MLRO decision.",
TRUE,"Case created and pending analyst review."
)</f>
        <v>Customer approved and account opened.</v>
      </c>
    </row>
    <row r="77" spans="1:15" x14ac:dyDescent="0.25">
      <c r="A77" t="s">
        <v>197</v>
      </c>
      <c r="B77" t="str">
        <f>IFERROR(
_xlfn.XLOOKUP(
A77,
tblCustomers[Customer ID],
tblCustomers[Full Name]
),
""
)</f>
        <v>Prime Tech Ltd</v>
      </c>
      <c r="C77" t="str">
        <f>IFERROR(
_xlfn.XLOOKUP(
A77,
RiskMatrix[Customer ID],
RiskMatrix[Risk Rating]
),
""
)</f>
        <v>Low</v>
      </c>
      <c r="D77" t="str">
        <f>IFERROR(
_xlfn.XLOOKUP(
A77,
RiskMatrix[Customer ID],
RiskMatrix[Due Diligence Tier]
),
""
)</f>
        <v>SDD</v>
      </c>
      <c r="E77" t="str">
        <f>IFERROR(
_xlfn.XLOOKUP(
A77,
RiskMatrix[Customer ID],#REF!
),
""
)</f>
        <v/>
      </c>
      <c r="F77" t="s">
        <v>436</v>
      </c>
      <c r="G77" t="s">
        <v>444</v>
      </c>
      <c r="H77" s="2">
        <f t="shared" ca="1" si="2"/>
        <v>46234</v>
      </c>
      <c r="I77" s="2">
        <v>46309</v>
      </c>
      <c r="J77" t="str">
        <f>_xlfn.LET(
_xlpm.AddressStatus,IFERROR(_xlfn.XLOOKUP(A77,tblCIP[Customer ID],tblCIP[Address Verified]),""),
_xlpm.SOWStatus,IFERROR(_xlfn.XLOOKUP(A77,tblScreening[Customer ID],tblScreening[Source of Wealth Obtained]),""),
IF(
AND(_xlpm.AddressStatus="Yes",_xlpm.SOWStatus="Yes"),
"None",
_xlfn.TEXTJOIN("; ",TRUE,
IF(_xlpm.AddressStatus="No","Proof of Address",""),
IF(_xlpm.SOWStatus="No","Source of Wealth","")
)
)
)</f>
        <v>None</v>
      </c>
      <c r="L77" t="s">
        <v>437</v>
      </c>
      <c r="M77" t="str">
        <f t="shared" si="3"/>
        <v>Approved</v>
      </c>
      <c r="N77" t="str" cm="1">
        <f t="array" ref="N77">_xlfn.IFS(
M77="Approved","Open Account",
M77="Rejected","Do Not Onboard",
M77="Escalated","Pending Review",
TRUE,"Awaiting Decision"
)</f>
        <v>Open Account</v>
      </c>
      <c r="O77" t="str" cm="1">
        <f t="array" ref="O77">_xlfn.IFS(
N77="Open Account","Customer approved and account opened.",
M77="Approved","Approved by MLRO. Awaiting account activation.",
M77="Rejected","Customer rejected after compliance review.",
M77="Escalated","Escalated for enhanced due diligence.",
G77="Awaiting Customer","Awaiting additional customer documentation.",
G77="In Progress","Compliance review currently in progress.",
G77="Completed","Compliance review completed. Awaiting MLRO decision.",
TRUE,"Case created and pending analyst review."
)</f>
        <v>Customer approved and account opened.</v>
      </c>
    </row>
    <row r="78" spans="1:15" x14ac:dyDescent="0.25">
      <c r="A78" t="s">
        <v>200</v>
      </c>
      <c r="B78" t="str">
        <f>IFERROR(
_xlfn.XLOOKUP(
A78,
tblCustomers[Customer ID],
tblCustomers[Full Name]
),
""
)</f>
        <v>Apex Farms Ltd</v>
      </c>
      <c r="C78" t="str">
        <f>IFERROR(
_xlfn.XLOOKUP(
A78,
RiskMatrix[Customer ID],
RiskMatrix[Risk Rating]
),
""
)</f>
        <v>Low</v>
      </c>
      <c r="D78" t="str">
        <f>IFERROR(
_xlfn.XLOOKUP(
A78,
RiskMatrix[Customer ID],
RiskMatrix[Due Diligence Tier]
),
""
)</f>
        <v>SDD</v>
      </c>
      <c r="E78" t="str">
        <f>IFERROR(
_xlfn.XLOOKUP(
A78,
RiskMatrix[Customer ID],#REF!
),
""
)</f>
        <v/>
      </c>
      <c r="F78" t="s">
        <v>436</v>
      </c>
      <c r="G78" t="s">
        <v>444</v>
      </c>
      <c r="H78" s="2">
        <f t="shared" ca="1" si="2"/>
        <v>46234</v>
      </c>
      <c r="I78" s="2">
        <v>46310</v>
      </c>
      <c r="J78" t="str">
        <f>_xlfn.LET(
_xlpm.AddressStatus,IFERROR(_xlfn.XLOOKUP(A78,tblCIP[Customer ID],tblCIP[Address Verified]),""),
_xlpm.SOWStatus,IFERROR(_xlfn.XLOOKUP(A78,tblScreening[Customer ID],tblScreening[Source of Wealth Obtained]),""),
IF(
AND(_xlpm.AddressStatus="Yes",_xlpm.SOWStatus="Yes"),
"None",
_xlfn.TEXTJOIN("; ",TRUE,
IF(_xlpm.AddressStatus="No","Proof of Address",""),
IF(_xlpm.SOWStatus="No","Source of Wealth","")
)
)
)</f>
        <v>None</v>
      </c>
      <c r="L78" t="s">
        <v>437</v>
      </c>
      <c r="M78" t="str">
        <f t="shared" si="3"/>
        <v>Approved</v>
      </c>
      <c r="N78" t="str" cm="1">
        <f t="array" ref="N78">_xlfn.IFS(
M78="Approved","Open Account",
M78="Rejected","Do Not Onboard",
M78="Escalated","Pending Review",
TRUE,"Awaiting Decision"
)</f>
        <v>Open Account</v>
      </c>
      <c r="O78" t="str" cm="1">
        <f t="array" ref="O78">_xlfn.IFS(
N78="Open Account","Customer approved and account opened.",
M78="Approved","Approved by MLRO. Awaiting account activation.",
M78="Rejected","Customer rejected after compliance review.",
M78="Escalated","Escalated for enhanced due diligence.",
G78="Awaiting Customer","Awaiting additional customer documentation.",
G78="In Progress","Compliance review currently in progress.",
G78="Completed","Compliance review completed. Awaiting MLRO decision.",
TRUE,"Case created and pending analyst review."
)</f>
        <v>Customer approved and account opened.</v>
      </c>
    </row>
    <row r="79" spans="1:15" x14ac:dyDescent="0.25">
      <c r="A79" t="s">
        <v>202</v>
      </c>
      <c r="B79" t="str">
        <f>IFERROR(
_xlfn.XLOOKUP(
A79,
tblCustomers[Customer ID],
tblCustomers[Full Name]
),
""
)</f>
        <v>Orion Foods Ltd</v>
      </c>
      <c r="C79" t="str">
        <f>IFERROR(
_xlfn.XLOOKUP(
A79,
RiskMatrix[Customer ID],
RiskMatrix[Risk Rating]
),
""
)</f>
        <v>Medium</v>
      </c>
      <c r="D79" t="str">
        <f>IFERROR(
_xlfn.XLOOKUP(
A79,
RiskMatrix[Customer ID],
RiskMatrix[Due Diligence Tier]
),
""
)</f>
        <v>CDD</v>
      </c>
      <c r="E79" t="str">
        <f>IFERROR(
_xlfn.XLOOKUP(
A79,
RiskMatrix[Customer ID],#REF!
),
""
)</f>
        <v/>
      </c>
      <c r="F79" t="s">
        <v>436</v>
      </c>
      <c r="G79" t="s">
        <v>444</v>
      </c>
      <c r="H79" s="2">
        <f t="shared" ca="1" si="2"/>
        <v>46234</v>
      </c>
      <c r="I79" s="2">
        <v>46311</v>
      </c>
      <c r="J79" t="str">
        <f>_xlfn.LET(
_xlpm.AddressStatus,IFERROR(_xlfn.XLOOKUP(A79,tblCIP[Customer ID],tblCIP[Address Verified]),""),
_xlpm.SOWStatus,IFERROR(_xlfn.XLOOKUP(A79,tblScreening[Customer ID],tblScreening[Source of Wealth Obtained]),""),
IF(
AND(_xlpm.AddressStatus="Yes",_xlpm.SOWStatus="Yes"),
"None",
_xlfn.TEXTJOIN("; ",TRUE,
IF(_xlpm.AddressStatus="No","Proof of Address",""),
IF(_xlpm.SOWStatus="No","Source of Wealth","")
)
)
)</f>
        <v>None</v>
      </c>
      <c r="L79" t="s">
        <v>437</v>
      </c>
      <c r="M79" t="str">
        <f t="shared" si="3"/>
        <v>Approved</v>
      </c>
      <c r="N79" t="str" cm="1">
        <f t="array" ref="N79">_xlfn.IFS(
M79="Approved","Open Account",
M79="Rejected","Do Not Onboard",
M79="Escalated","Pending Review",
TRUE,"Awaiting Decision"
)</f>
        <v>Open Account</v>
      </c>
      <c r="O79" t="str" cm="1">
        <f t="array" ref="O79">_xlfn.IFS(
N79="Open Account","Customer approved and account opened.",
M79="Approved","Approved by MLRO. Awaiting account activation.",
M79="Rejected","Customer rejected after compliance review.",
M79="Escalated","Escalated for enhanced due diligence.",
G79="Awaiting Customer","Awaiting additional customer documentation.",
G79="In Progress","Compliance review currently in progress.",
G79="Completed","Compliance review completed. Awaiting MLRO decision.",
TRUE,"Case created and pending analyst review."
)</f>
        <v>Customer approved and account opened.</v>
      </c>
    </row>
    <row r="80" spans="1:15" x14ac:dyDescent="0.25">
      <c r="A80" t="s">
        <v>204</v>
      </c>
      <c r="B80" t="str">
        <f>IFERROR(
_xlfn.XLOOKUP(
A80,
tblCustomers[Customer ID],
tblCustomers[Full Name]
),
""
)</f>
        <v>Orion Manufacturing Ltd</v>
      </c>
      <c r="C80" t="str">
        <f>IFERROR(
_xlfn.XLOOKUP(
A80,
RiskMatrix[Customer ID],
RiskMatrix[Risk Rating]
),
""
)</f>
        <v>Medium</v>
      </c>
      <c r="D80" t="str">
        <f>IFERROR(
_xlfn.XLOOKUP(
A80,
RiskMatrix[Customer ID],
RiskMatrix[Due Diligence Tier]
),
""
)</f>
        <v>CDD</v>
      </c>
      <c r="E80" t="str">
        <f>IFERROR(
_xlfn.XLOOKUP(
A80,
RiskMatrix[Customer ID],#REF!
),
""
)</f>
        <v/>
      </c>
      <c r="F80" t="s">
        <v>436</v>
      </c>
      <c r="G80" t="s">
        <v>444</v>
      </c>
      <c r="H80" s="2">
        <f t="shared" ca="1" si="2"/>
        <v>46234</v>
      </c>
      <c r="I80" s="2">
        <v>46312</v>
      </c>
      <c r="J80" t="str">
        <f>_xlfn.LET(
_xlpm.AddressStatus,IFERROR(_xlfn.XLOOKUP(A80,tblCIP[Customer ID],tblCIP[Address Verified]),""),
_xlpm.SOWStatus,IFERROR(_xlfn.XLOOKUP(A80,tblScreening[Customer ID],tblScreening[Source of Wealth Obtained]),""),
IF(
AND(_xlpm.AddressStatus="Yes",_xlpm.SOWStatus="Yes"),
"None",
_xlfn.TEXTJOIN("; ",TRUE,
IF(_xlpm.AddressStatus="No","Proof of Address",""),
IF(_xlpm.SOWStatus="No","Source of Wealth","")
)
)
)</f>
        <v>None</v>
      </c>
      <c r="L80" t="s">
        <v>437</v>
      </c>
      <c r="M80" t="str">
        <f t="shared" si="3"/>
        <v>Approved</v>
      </c>
      <c r="N80" t="str" cm="1">
        <f t="array" ref="N80">_xlfn.IFS(
M80="Approved","Open Account",
M80="Rejected","Do Not Onboard",
M80="Escalated","Pending Review",
TRUE,"Awaiting Decision"
)</f>
        <v>Open Account</v>
      </c>
      <c r="O80" t="str" cm="1">
        <f t="array" ref="O80">_xlfn.IFS(
N80="Open Account","Customer approved and account opened.",
M80="Approved","Approved by MLRO. Awaiting account activation.",
M80="Rejected","Customer rejected after compliance review.",
M80="Escalated","Escalated for enhanced due diligence.",
G80="Awaiting Customer","Awaiting additional customer documentation.",
G80="In Progress","Compliance review currently in progress.",
G80="Completed","Compliance review completed. Awaiting MLRO decision.",
TRUE,"Case created and pending analyst review."
)</f>
        <v>Customer approved and account opened.</v>
      </c>
    </row>
    <row r="81" spans="1:15" x14ac:dyDescent="0.25">
      <c r="A81" t="s">
        <v>206</v>
      </c>
      <c r="B81" t="str">
        <f>IFERROR(
_xlfn.XLOOKUP(
A81,
tblCustomers[Customer ID],
tblCustomers[Full Name]
),
""
)</f>
        <v>Orion Tech Ltd</v>
      </c>
      <c r="C81" t="str">
        <f>IFERROR(
_xlfn.XLOOKUP(
A81,
RiskMatrix[Customer ID],
RiskMatrix[Risk Rating]
),
""
)</f>
        <v>Low</v>
      </c>
      <c r="D81" t="str">
        <f>IFERROR(
_xlfn.XLOOKUP(
A81,
RiskMatrix[Customer ID],
RiskMatrix[Due Diligence Tier]
),
""
)</f>
        <v>SDD</v>
      </c>
      <c r="E81" t="str">
        <f>IFERROR(
_xlfn.XLOOKUP(
A81,
RiskMatrix[Customer ID],#REF!
),
""
)</f>
        <v/>
      </c>
      <c r="F81" t="s">
        <v>436</v>
      </c>
      <c r="G81" t="s">
        <v>444</v>
      </c>
      <c r="H81" s="2">
        <f t="shared" ca="1" si="2"/>
        <v>46234</v>
      </c>
      <c r="I81" s="2">
        <v>46313</v>
      </c>
      <c r="J81" t="str">
        <f>_xlfn.LET(
_xlpm.AddressStatus,IFERROR(_xlfn.XLOOKUP(A81,tblCIP[Customer ID],tblCIP[Address Verified]),""),
_xlpm.SOWStatus,IFERROR(_xlfn.XLOOKUP(A81,tblScreening[Customer ID],tblScreening[Source of Wealth Obtained]),""),
IF(
AND(_xlpm.AddressStatus="Yes",_xlpm.SOWStatus="Yes"),
"None",
_xlfn.TEXTJOIN("; ",TRUE,
IF(_xlpm.AddressStatus="No","Proof of Address",""),
IF(_xlpm.SOWStatus="No","Source of Wealth","")
)
)
)</f>
        <v>None</v>
      </c>
      <c r="L81" t="s">
        <v>437</v>
      </c>
      <c r="M81" t="str">
        <f t="shared" si="3"/>
        <v>Approved</v>
      </c>
      <c r="N81" t="str" cm="1">
        <f t="array" ref="N81">_xlfn.IFS(
M81="Approved","Open Account",
M81="Rejected","Do Not Onboard",
M81="Escalated","Pending Review",
TRUE,"Awaiting Decision"
)</f>
        <v>Open Account</v>
      </c>
      <c r="O81" t="str" cm="1">
        <f t="array" ref="O81">_xlfn.IFS(
N81="Open Account","Customer approved and account opened.",
M81="Approved","Approved by MLRO. Awaiting account activation.",
M81="Rejected","Customer rejected after compliance review.",
M81="Escalated","Escalated for enhanced due diligence.",
G81="Awaiting Customer","Awaiting additional customer documentation.",
G81="In Progress","Compliance review currently in progress.",
G81="Completed","Compliance review completed. Awaiting MLRO decision.",
TRUE,"Case created and pending analyst review."
)</f>
        <v>Customer approved and account opened.</v>
      </c>
    </row>
    <row r="82" spans="1:15" x14ac:dyDescent="0.25">
      <c r="A82" t="s">
        <v>208</v>
      </c>
      <c r="B82" t="str">
        <f>IFERROR(
_xlfn.XLOOKUP(
A82,
tblCustomers[Customer ID],
tblCustomers[Full Name]
),
""
)</f>
        <v>Evergreen Manufacturing Ltd</v>
      </c>
      <c r="C82" t="str">
        <f>IFERROR(
_xlfn.XLOOKUP(
A82,
RiskMatrix[Customer ID],
RiskMatrix[Risk Rating]
),
""
)</f>
        <v>Low</v>
      </c>
      <c r="D82" t="str">
        <f>IFERROR(
_xlfn.XLOOKUP(
A82,
RiskMatrix[Customer ID],
RiskMatrix[Due Diligence Tier]
),
""
)</f>
        <v>SDD</v>
      </c>
      <c r="E82" t="str">
        <f>IFERROR(
_xlfn.XLOOKUP(
A82,
RiskMatrix[Customer ID],#REF!
),
""
)</f>
        <v/>
      </c>
      <c r="F82" t="s">
        <v>436</v>
      </c>
      <c r="G82" t="s">
        <v>444</v>
      </c>
      <c r="H82" s="2">
        <f t="shared" ca="1" si="2"/>
        <v>46234</v>
      </c>
      <c r="I82" s="2">
        <v>46314</v>
      </c>
      <c r="J82" t="str">
        <f>_xlfn.LET(
_xlpm.AddressStatus,IFERROR(_xlfn.XLOOKUP(A82,tblCIP[Customer ID],tblCIP[Address Verified]),""),
_xlpm.SOWStatus,IFERROR(_xlfn.XLOOKUP(A82,tblScreening[Customer ID],tblScreening[Source of Wealth Obtained]),""),
IF(
AND(_xlpm.AddressStatus="Yes",_xlpm.SOWStatus="Yes"),
"None",
_xlfn.TEXTJOIN("; ",TRUE,
IF(_xlpm.AddressStatus="No","Proof of Address",""),
IF(_xlpm.SOWStatus="No","Source of Wealth","")
)
)
)</f>
        <v>None</v>
      </c>
      <c r="L82" t="s">
        <v>437</v>
      </c>
      <c r="M82" t="str">
        <f t="shared" si="3"/>
        <v>Approved</v>
      </c>
      <c r="N82" t="str" cm="1">
        <f t="array" ref="N82">_xlfn.IFS(
M82="Approved","Open Account",
M82="Rejected","Do Not Onboard",
M82="Escalated","Pending Review",
TRUE,"Awaiting Decision"
)</f>
        <v>Open Account</v>
      </c>
      <c r="O82" t="str" cm="1">
        <f t="array" ref="O82">_xlfn.IFS(
N82="Open Account","Customer approved and account opened.",
M82="Approved","Approved by MLRO. Awaiting account activation.",
M82="Rejected","Customer rejected after compliance review.",
M82="Escalated","Escalated for enhanced due diligence.",
G82="Awaiting Customer","Awaiting additional customer documentation.",
G82="In Progress","Compliance review currently in progress.",
G82="Completed","Compliance review completed. Awaiting MLRO decision.",
TRUE,"Case created and pending analyst review."
)</f>
        <v>Customer approved and account opened.</v>
      </c>
    </row>
    <row r="83" spans="1:15" x14ac:dyDescent="0.25">
      <c r="A83" t="s">
        <v>210</v>
      </c>
      <c r="B83" t="str">
        <f>IFERROR(
_xlfn.XLOOKUP(
A83,
tblCustomers[Customer ID],
tblCustomers[Full Name]
),
""
)</f>
        <v>Apex Tech Ltd</v>
      </c>
      <c r="C83" t="str">
        <f>IFERROR(
_xlfn.XLOOKUP(
A83,
RiskMatrix[Customer ID],
RiskMatrix[Risk Rating]
),
""
)</f>
        <v>Medium</v>
      </c>
      <c r="D83" t="str">
        <f>IFERROR(
_xlfn.XLOOKUP(
A83,
RiskMatrix[Customer ID],
RiskMatrix[Due Diligence Tier]
),
""
)</f>
        <v>EDD</v>
      </c>
      <c r="E83" t="str">
        <f>IFERROR(
_xlfn.XLOOKUP(
A83,
RiskMatrix[Customer ID],#REF!
),
""
)</f>
        <v/>
      </c>
      <c r="F83" t="s">
        <v>436</v>
      </c>
      <c r="G83" t="s">
        <v>444</v>
      </c>
      <c r="H83" s="2">
        <f t="shared" ca="1" si="2"/>
        <v>46234</v>
      </c>
      <c r="I83" s="2">
        <v>46315</v>
      </c>
      <c r="J83" t="str">
        <f>_xlfn.LET(
_xlpm.AddressStatus,IFERROR(_xlfn.XLOOKUP(A83,tblCIP[Customer ID],tblCIP[Address Verified]),""),
_xlpm.SOWStatus,IFERROR(_xlfn.XLOOKUP(A83,tblScreening[Customer ID],tblScreening[Source of Wealth Obtained]),""),
IF(
AND(_xlpm.AddressStatus="Yes",_xlpm.SOWStatus="Yes"),
"None",
_xlfn.TEXTJOIN("; ",TRUE,
IF(_xlpm.AddressStatus="No","Proof of Address",""),
IF(_xlpm.SOWStatus="No","Source of Wealth","")
)
)
)</f>
        <v>None</v>
      </c>
      <c r="L83" t="s">
        <v>438</v>
      </c>
      <c r="M83" t="str">
        <f t="shared" si="3"/>
        <v>Escalated</v>
      </c>
      <c r="N83" t="str" cm="1">
        <f t="array" ref="N83">_xlfn.IFS(
M83="Approved","Open Account",
M83="Rejected","Do Not Onboard",
M83="Escalated","Pending Review",
TRUE,"Awaiting Decision"
)</f>
        <v>Pending Review</v>
      </c>
      <c r="O83" t="str" cm="1">
        <f t="array" ref="O83">_xlfn.IFS(
N83="Open Account","Customer approved and account opened.",
M83="Approved","Approved by MLRO. Awaiting account activation.",
M83="Rejected","Customer rejected after compliance review.",
M83="Escalated","Escalated for enhanced due diligence.",
G83="Awaiting Customer","Awaiting additional customer documentation.",
G83="In Progress","Compliance review currently in progress.",
G83="Completed","Compliance review completed. Awaiting MLRO decision.",
TRUE,"Case created and pending analyst review."
)</f>
        <v>Escalated for enhanced due diligence.</v>
      </c>
    </row>
    <row r="84" spans="1:15" x14ac:dyDescent="0.25">
      <c r="A84" t="s">
        <v>212</v>
      </c>
      <c r="B84" t="str">
        <f>IFERROR(
_xlfn.XLOOKUP(
A84,
tblCustomers[Customer ID],
tblCustomers[Full Name]
),
""
)</f>
        <v>Green Manufacturing Ltd</v>
      </c>
      <c r="C84" t="str">
        <f>IFERROR(
_xlfn.XLOOKUP(
A84,
RiskMatrix[Customer ID],
RiskMatrix[Risk Rating]
),
""
)</f>
        <v>High</v>
      </c>
      <c r="D84" t="str">
        <f>IFERROR(
_xlfn.XLOOKUP(
A84,
RiskMatrix[Customer ID],
RiskMatrix[Due Diligence Tier]
),
""
)</f>
        <v>EDD</v>
      </c>
      <c r="E84" t="str">
        <f>IFERROR(
_xlfn.XLOOKUP(
A84,
RiskMatrix[Customer ID],#REF!
),
""
)</f>
        <v/>
      </c>
      <c r="F84" t="s">
        <v>436</v>
      </c>
      <c r="G84" t="s">
        <v>444</v>
      </c>
      <c r="H84" s="2">
        <f t="shared" ca="1" si="2"/>
        <v>46234</v>
      </c>
      <c r="I84" s="2">
        <v>46316</v>
      </c>
      <c r="J84" t="str">
        <f>_xlfn.LET(
_xlpm.AddressStatus,IFERROR(_xlfn.XLOOKUP(A84,tblCIP[Customer ID],tblCIP[Address Verified]),""),
_xlpm.SOWStatus,IFERROR(_xlfn.XLOOKUP(A84,tblScreening[Customer ID],tblScreening[Source of Wealth Obtained]),""),
IF(
AND(_xlpm.AddressStatus="Yes",_xlpm.SOWStatus="Yes"),
"None",
_xlfn.TEXTJOIN("; ",TRUE,
IF(_xlpm.AddressStatus="No","Proof of Address",""),
IF(_xlpm.SOWStatus="No","Source of Wealth","")
)
)
)</f>
        <v>None</v>
      </c>
      <c r="L84" t="s">
        <v>440</v>
      </c>
      <c r="M84" t="str">
        <f t="shared" si="3"/>
        <v>Rejected</v>
      </c>
      <c r="N84" t="str" cm="1">
        <f t="array" ref="N84">_xlfn.IFS(
M84="Approved","Open Account",
M84="Rejected","Do Not Onboard",
M84="Escalated","Pending Review",
TRUE,"Awaiting Decision"
)</f>
        <v>Do Not Onboard</v>
      </c>
      <c r="O84" t="str" cm="1">
        <f t="array" ref="O84">_xlfn.IFS(
N84="Open Account","Customer approved and account opened.",
M84="Approved","Approved by MLRO. Awaiting account activation.",
M84="Rejected","Customer rejected after compliance review.",
M84="Escalated","Escalated for enhanced due diligence.",
G84="Awaiting Customer","Awaiting additional customer documentation.",
G84="In Progress","Compliance review currently in progress.",
G84="Completed","Compliance review completed. Awaiting MLRO decision.",
TRUE,"Case created and pending analyst review."
)</f>
        <v>Customer rejected after compliance review.</v>
      </c>
    </row>
    <row r="85" spans="1:15" x14ac:dyDescent="0.25">
      <c r="A85" t="s">
        <v>214</v>
      </c>
      <c r="B85" t="str">
        <f>IFERROR(
_xlfn.XLOOKUP(
A85,
tblCustomers[Customer ID],
tblCustomers[Full Name]
),
""
)</f>
        <v>Apex Manufacturing Ltd</v>
      </c>
      <c r="C85" t="str">
        <f>IFERROR(
_xlfn.XLOOKUP(
A85,
RiskMatrix[Customer ID],
RiskMatrix[Risk Rating]
),
""
)</f>
        <v>Medium</v>
      </c>
      <c r="D85" t="str">
        <f>IFERROR(
_xlfn.XLOOKUP(
A85,
RiskMatrix[Customer ID],
RiskMatrix[Due Diligence Tier]
),
""
)</f>
        <v>CDD</v>
      </c>
      <c r="E85" t="str">
        <f>IFERROR(
_xlfn.XLOOKUP(
A85,
RiskMatrix[Customer ID],#REF!
),
""
)</f>
        <v/>
      </c>
      <c r="F85" t="s">
        <v>436</v>
      </c>
      <c r="G85" t="s">
        <v>444</v>
      </c>
      <c r="H85" s="2">
        <f t="shared" ca="1" si="2"/>
        <v>46234</v>
      </c>
      <c r="I85" s="2">
        <v>46317</v>
      </c>
      <c r="J85" t="str">
        <f>_xlfn.LET(
_xlpm.AddressStatus,IFERROR(_xlfn.XLOOKUP(A85,tblCIP[Customer ID],tblCIP[Address Verified]),""),
_xlpm.SOWStatus,IFERROR(_xlfn.XLOOKUP(A85,tblScreening[Customer ID],tblScreening[Source of Wealth Obtained]),""),
IF(
AND(_xlpm.AddressStatus="Yes",_xlpm.SOWStatus="Yes"),
"None",
_xlfn.TEXTJOIN("; ",TRUE,
IF(_xlpm.AddressStatus="No","Proof of Address",""),
IF(_xlpm.SOWStatus="No","Source of Wealth","")
)
)
)</f>
        <v>None</v>
      </c>
      <c r="L85" t="s">
        <v>437</v>
      </c>
      <c r="M85" t="str">
        <f t="shared" si="3"/>
        <v>Approved</v>
      </c>
      <c r="N85" t="str" cm="1">
        <f t="array" ref="N85">_xlfn.IFS(
M85="Approved","Open Account",
M85="Rejected","Do Not Onboard",
M85="Escalated","Pending Review",
TRUE,"Awaiting Decision"
)</f>
        <v>Open Account</v>
      </c>
      <c r="O85" t="str" cm="1">
        <f t="array" ref="O85">_xlfn.IFS(
N85="Open Account","Customer approved and account opened.",
M85="Approved","Approved by MLRO. Awaiting account activation.",
M85="Rejected","Customer rejected after compliance review.",
M85="Escalated","Escalated for enhanced due diligence.",
G85="Awaiting Customer","Awaiting additional customer documentation.",
G85="In Progress","Compliance review currently in progress.",
G85="Completed","Compliance review completed. Awaiting MLRO decision.",
TRUE,"Case created and pending analyst review."
)</f>
        <v>Customer approved and account opened.</v>
      </c>
    </row>
    <row r="86" spans="1:15" x14ac:dyDescent="0.25">
      <c r="A86" t="s">
        <v>216</v>
      </c>
      <c r="B86" t="str">
        <f>IFERROR(
_xlfn.XLOOKUP(
A86,
tblCustomers[Customer ID],
tblCustomers[Full Name]
),
""
)</f>
        <v>Apex Farms Ltd</v>
      </c>
      <c r="C86" t="str">
        <f>IFERROR(
_xlfn.XLOOKUP(
A86,
RiskMatrix[Customer ID],
RiskMatrix[Risk Rating]
),
""
)</f>
        <v>Medium</v>
      </c>
      <c r="D86" t="str">
        <f>IFERROR(
_xlfn.XLOOKUP(
A86,
RiskMatrix[Customer ID],
RiskMatrix[Due Diligence Tier]
),
""
)</f>
        <v>CDD</v>
      </c>
      <c r="E86" t="str">
        <f>IFERROR(
_xlfn.XLOOKUP(
A86,
RiskMatrix[Customer ID],#REF!
),
""
)</f>
        <v/>
      </c>
      <c r="F86" t="s">
        <v>436</v>
      </c>
      <c r="G86" t="s">
        <v>444</v>
      </c>
      <c r="H86" s="2">
        <f t="shared" ca="1" si="2"/>
        <v>46234</v>
      </c>
      <c r="I86" s="2">
        <v>46318</v>
      </c>
      <c r="J86" t="str">
        <f>_xlfn.LET(
_xlpm.AddressStatus,IFERROR(_xlfn.XLOOKUP(A86,tblCIP[Customer ID],tblCIP[Address Verified]),""),
_xlpm.SOWStatus,IFERROR(_xlfn.XLOOKUP(A86,tblScreening[Customer ID],tblScreening[Source of Wealth Obtained]),""),
IF(
AND(_xlpm.AddressStatus="Yes",_xlpm.SOWStatus="Yes"),
"None",
_xlfn.TEXTJOIN("; ",TRUE,
IF(_xlpm.AddressStatus="No","Proof of Address",""),
IF(_xlpm.SOWStatus="No","Source of Wealth","")
)
)
)</f>
        <v>None</v>
      </c>
      <c r="L86" t="s">
        <v>437</v>
      </c>
      <c r="M86" t="str">
        <f t="shared" si="3"/>
        <v>Approved</v>
      </c>
      <c r="N86" t="str" cm="1">
        <f t="array" ref="N86">_xlfn.IFS(
M86="Approved","Open Account",
M86="Rejected","Do Not Onboard",
M86="Escalated","Pending Review",
TRUE,"Awaiting Decision"
)</f>
        <v>Open Account</v>
      </c>
      <c r="O86" t="str" cm="1">
        <f t="array" ref="O86">_xlfn.IFS(
N86="Open Account","Customer approved and account opened.",
M86="Approved","Approved by MLRO. Awaiting account activation.",
M86="Rejected","Customer rejected after compliance review.",
M86="Escalated","Escalated for enhanced due diligence.",
G86="Awaiting Customer","Awaiting additional customer documentation.",
G86="In Progress","Compliance review currently in progress.",
G86="Completed","Compliance review completed. Awaiting MLRO decision.",
TRUE,"Case created and pending analyst review."
)</f>
        <v>Customer approved and account opened.</v>
      </c>
    </row>
    <row r="87" spans="1:15" x14ac:dyDescent="0.25">
      <c r="A87" t="s">
        <v>218</v>
      </c>
      <c r="B87" t="str">
        <f>IFERROR(
_xlfn.XLOOKUP(
A87,
tblCustomers[Customer ID],
tblCustomers[Full Name]
),
""
)</f>
        <v>Green Foods Ltd</v>
      </c>
      <c r="C87" t="str">
        <f>IFERROR(
_xlfn.XLOOKUP(
A87,
RiskMatrix[Customer ID],
RiskMatrix[Risk Rating]
),
""
)</f>
        <v>Low</v>
      </c>
      <c r="D87" t="str">
        <f>IFERROR(
_xlfn.XLOOKUP(
A87,
RiskMatrix[Customer ID],
RiskMatrix[Due Diligence Tier]
),
""
)</f>
        <v>SDD</v>
      </c>
      <c r="E87" t="str">
        <f>IFERROR(
_xlfn.XLOOKUP(
A87,
RiskMatrix[Customer ID],#REF!
),
""
)</f>
        <v/>
      </c>
      <c r="F87" t="s">
        <v>436</v>
      </c>
      <c r="G87" t="s">
        <v>444</v>
      </c>
      <c r="H87" s="2">
        <f t="shared" ca="1" si="2"/>
        <v>46234</v>
      </c>
      <c r="I87" s="2">
        <v>46319</v>
      </c>
      <c r="J87" t="str">
        <f>_xlfn.LET(
_xlpm.AddressStatus,IFERROR(_xlfn.XLOOKUP(A87,tblCIP[Customer ID],tblCIP[Address Verified]),""),
_xlpm.SOWStatus,IFERROR(_xlfn.XLOOKUP(A87,tblScreening[Customer ID],tblScreening[Source of Wealth Obtained]),""),
IF(
AND(_xlpm.AddressStatus="Yes",_xlpm.SOWStatus="Yes"),
"None",
_xlfn.TEXTJOIN("; ",TRUE,
IF(_xlpm.AddressStatus="No","Proof of Address",""),
IF(_xlpm.SOWStatus="No","Source of Wealth","")
)
)
)</f>
        <v>None</v>
      </c>
      <c r="L87" t="s">
        <v>437</v>
      </c>
      <c r="M87" t="str">
        <f t="shared" si="3"/>
        <v>Approved</v>
      </c>
      <c r="N87" t="str" cm="1">
        <f t="array" ref="N87">_xlfn.IFS(
M87="Approved","Open Account",
M87="Rejected","Do Not Onboard",
M87="Escalated","Pending Review",
TRUE,"Awaiting Decision"
)</f>
        <v>Open Account</v>
      </c>
      <c r="O87" t="str" cm="1">
        <f t="array" ref="O87">_xlfn.IFS(
N87="Open Account","Customer approved and account opened.",
M87="Approved","Approved by MLRO. Awaiting account activation.",
M87="Rejected","Customer rejected after compliance review.",
M87="Escalated","Escalated for enhanced due diligence.",
G87="Awaiting Customer","Awaiting additional customer documentation.",
G87="In Progress","Compliance review currently in progress.",
G87="Completed","Compliance review completed. Awaiting MLRO decision.",
TRUE,"Case created and pending analyst review."
)</f>
        <v>Customer approved and account opened.</v>
      </c>
    </row>
    <row r="88" spans="1:15" x14ac:dyDescent="0.25">
      <c r="A88" t="s">
        <v>220</v>
      </c>
      <c r="B88" t="str">
        <f>IFERROR(
_xlfn.XLOOKUP(
A88,
tblCustomers[Customer ID],
tblCustomers[Full Name]
),
""
)</f>
        <v>Blue Farms Ltd</v>
      </c>
      <c r="C88" t="str">
        <f>IFERROR(
_xlfn.XLOOKUP(
A88,
RiskMatrix[Customer ID],
RiskMatrix[Risk Rating]
),
""
)</f>
        <v>Low</v>
      </c>
      <c r="D88" t="str">
        <f>IFERROR(
_xlfn.XLOOKUP(
A88,
RiskMatrix[Customer ID],
RiskMatrix[Due Diligence Tier]
),
""
)</f>
        <v>SDD</v>
      </c>
      <c r="E88" t="str">
        <f>IFERROR(
_xlfn.XLOOKUP(
A88,
RiskMatrix[Customer ID],#REF!
),
""
)</f>
        <v/>
      </c>
      <c r="F88" t="s">
        <v>436</v>
      </c>
      <c r="G88" t="s">
        <v>444</v>
      </c>
      <c r="H88" s="2">
        <f t="shared" ca="1" si="2"/>
        <v>46234</v>
      </c>
      <c r="I88" s="2">
        <v>46320</v>
      </c>
      <c r="J88" t="str">
        <f>_xlfn.LET(
_xlpm.AddressStatus,IFERROR(_xlfn.XLOOKUP(A88,tblCIP[Customer ID],tblCIP[Address Verified]),""),
_xlpm.SOWStatus,IFERROR(_xlfn.XLOOKUP(A88,tblScreening[Customer ID],tblScreening[Source of Wealth Obtained]),""),
IF(
AND(_xlpm.AddressStatus="Yes",_xlpm.SOWStatus="Yes"),
"None",
_xlfn.TEXTJOIN("; ",TRUE,
IF(_xlpm.AddressStatus="No","Proof of Address",""),
IF(_xlpm.SOWStatus="No","Source of Wealth","")
)
)
)</f>
        <v>None</v>
      </c>
      <c r="L88" t="s">
        <v>437</v>
      </c>
      <c r="M88" t="str">
        <f t="shared" si="3"/>
        <v>Approved</v>
      </c>
      <c r="N88" t="str" cm="1">
        <f t="array" ref="N88">_xlfn.IFS(
M88="Approved","Open Account",
M88="Rejected","Do Not Onboard",
M88="Escalated","Pending Review",
TRUE,"Awaiting Decision"
)</f>
        <v>Open Account</v>
      </c>
      <c r="O88" t="str" cm="1">
        <f t="array" ref="O88">_xlfn.IFS(
N88="Open Account","Customer approved and account opened.",
M88="Approved","Approved by MLRO. Awaiting account activation.",
M88="Rejected","Customer rejected after compliance review.",
M88="Escalated","Escalated for enhanced due diligence.",
G88="Awaiting Customer","Awaiting additional customer documentation.",
G88="In Progress","Compliance review currently in progress.",
G88="Completed","Compliance review completed. Awaiting MLRO decision.",
TRUE,"Case created and pending analyst review."
)</f>
        <v>Customer approved and account opened.</v>
      </c>
    </row>
    <row r="89" spans="1:15" x14ac:dyDescent="0.25">
      <c r="A89" t="s">
        <v>222</v>
      </c>
      <c r="B89" t="str">
        <f>IFERROR(
_xlfn.XLOOKUP(
A89,
tblCustomers[Customer ID],
tblCustomers[Full Name]
),
""
)</f>
        <v>Evergreen Logistics Ltd</v>
      </c>
      <c r="C89" t="str">
        <f>IFERROR(
_xlfn.XLOOKUP(
A89,
RiskMatrix[Customer ID],
RiskMatrix[Risk Rating]
),
""
)</f>
        <v>Medium</v>
      </c>
      <c r="D89" t="str">
        <f>IFERROR(
_xlfn.XLOOKUP(
A89,
RiskMatrix[Customer ID],
RiskMatrix[Due Diligence Tier]
),
""
)</f>
        <v>CDD</v>
      </c>
      <c r="E89" t="str">
        <f>IFERROR(
_xlfn.XLOOKUP(
A89,
RiskMatrix[Customer ID],#REF!
),
""
)</f>
        <v/>
      </c>
      <c r="F89" t="s">
        <v>436</v>
      </c>
      <c r="G89" t="s">
        <v>444</v>
      </c>
      <c r="H89" s="2">
        <f t="shared" ca="1" si="2"/>
        <v>46234</v>
      </c>
      <c r="I89" s="2">
        <v>46321</v>
      </c>
      <c r="J89" t="str">
        <f>_xlfn.LET(
_xlpm.AddressStatus,IFERROR(_xlfn.XLOOKUP(A89,tblCIP[Customer ID],tblCIP[Address Verified]),""),
_xlpm.SOWStatus,IFERROR(_xlfn.XLOOKUP(A89,tblScreening[Customer ID],tblScreening[Source of Wealth Obtained]),""),
IF(
AND(_xlpm.AddressStatus="Yes",_xlpm.SOWStatus="Yes"),
"None",
_xlfn.TEXTJOIN("; ",TRUE,
IF(_xlpm.AddressStatus="No","Proof of Address",""),
IF(_xlpm.SOWStatus="No","Source of Wealth","")
)
)
)</f>
        <v>None</v>
      </c>
      <c r="L89" t="s">
        <v>437</v>
      </c>
      <c r="M89" t="str">
        <f t="shared" si="3"/>
        <v>Approved</v>
      </c>
      <c r="N89" t="str" cm="1">
        <f t="array" ref="N89">_xlfn.IFS(
M89="Approved","Open Account",
M89="Rejected","Do Not Onboard",
M89="Escalated","Pending Review",
TRUE,"Awaiting Decision"
)</f>
        <v>Open Account</v>
      </c>
      <c r="O89" t="str" cm="1">
        <f t="array" ref="O89">_xlfn.IFS(
N89="Open Account","Customer approved and account opened.",
M89="Approved","Approved by MLRO. Awaiting account activation.",
M89="Rejected","Customer rejected after compliance review.",
M89="Escalated","Escalated for enhanced due diligence.",
G89="Awaiting Customer","Awaiting additional customer documentation.",
G89="In Progress","Compliance review currently in progress.",
G89="Completed","Compliance review completed. Awaiting MLRO decision.",
TRUE,"Case created and pending analyst review."
)</f>
        <v>Customer approved and account opened.</v>
      </c>
    </row>
    <row r="90" spans="1:15" x14ac:dyDescent="0.25">
      <c r="A90" t="s">
        <v>224</v>
      </c>
      <c r="B90" t="str">
        <f>IFERROR(
_xlfn.XLOOKUP(
A90,
tblCustomers[Customer ID],
tblCustomers[Full Name]
),
""
)</f>
        <v>Green Foods Ltd</v>
      </c>
      <c r="C90" t="str">
        <f>IFERROR(
_xlfn.XLOOKUP(
A90,
RiskMatrix[Customer ID],
RiskMatrix[Risk Rating]
),
""
)</f>
        <v>Low</v>
      </c>
      <c r="D90" t="str">
        <f>IFERROR(
_xlfn.XLOOKUP(
A90,
RiskMatrix[Customer ID],
RiskMatrix[Due Diligence Tier]
),
""
)</f>
        <v>SDD</v>
      </c>
      <c r="E90" t="str">
        <f>IFERROR(
_xlfn.XLOOKUP(
A90,
RiskMatrix[Customer ID],#REF!
),
""
)</f>
        <v/>
      </c>
      <c r="F90" t="s">
        <v>436</v>
      </c>
      <c r="G90" t="s">
        <v>444</v>
      </c>
      <c r="H90" s="2">
        <f t="shared" ca="1" si="2"/>
        <v>46234</v>
      </c>
      <c r="I90" s="2">
        <v>46322</v>
      </c>
      <c r="J90" t="str">
        <f>_xlfn.LET(
_xlpm.AddressStatus,IFERROR(_xlfn.XLOOKUP(A90,tblCIP[Customer ID],tblCIP[Address Verified]),""),
_xlpm.SOWStatus,IFERROR(_xlfn.XLOOKUP(A90,tblScreening[Customer ID],tblScreening[Source of Wealth Obtained]),""),
IF(
AND(_xlpm.AddressStatus="Yes",_xlpm.SOWStatus="Yes"),
"None",
_xlfn.TEXTJOIN("; ",TRUE,
IF(_xlpm.AddressStatus="No","Proof of Address",""),
IF(_xlpm.SOWStatus="No","Source of Wealth","")
)
)
)</f>
        <v>None</v>
      </c>
      <c r="L90" t="s">
        <v>437</v>
      </c>
      <c r="M90" t="str">
        <f t="shared" si="3"/>
        <v>Approved</v>
      </c>
      <c r="N90" t="str" cm="1">
        <f t="array" ref="N90">_xlfn.IFS(
M90="Approved","Open Account",
M90="Rejected","Do Not Onboard",
M90="Escalated","Pending Review",
TRUE,"Awaiting Decision"
)</f>
        <v>Open Account</v>
      </c>
      <c r="O90" t="str" cm="1">
        <f t="array" ref="O90">_xlfn.IFS(
N90="Open Account","Customer approved and account opened.",
M90="Approved","Approved by MLRO. Awaiting account activation.",
M90="Rejected","Customer rejected after compliance review.",
M90="Escalated","Escalated for enhanced due diligence.",
G90="Awaiting Customer","Awaiting additional customer documentation.",
G90="In Progress","Compliance review currently in progress.",
G90="Completed","Compliance review completed. Awaiting MLRO decision.",
TRUE,"Case created and pending analyst review."
)</f>
        <v>Customer approved and account opened.</v>
      </c>
    </row>
    <row r="91" spans="1:15" x14ac:dyDescent="0.25">
      <c r="A91" t="s">
        <v>225</v>
      </c>
      <c r="B91" t="str">
        <f>IFERROR(
_xlfn.XLOOKUP(
A91,
tblCustomers[Customer ID],
tblCustomers[Full Name]
),
""
)</f>
        <v>Blue Tech Ltd</v>
      </c>
      <c r="C91" t="str">
        <f>IFERROR(
_xlfn.XLOOKUP(
A91,
RiskMatrix[Customer ID],
RiskMatrix[Risk Rating]
),
""
)</f>
        <v>Medium</v>
      </c>
      <c r="D91" t="str">
        <f>IFERROR(
_xlfn.XLOOKUP(
A91,
RiskMatrix[Customer ID],
RiskMatrix[Due Diligence Tier]
),
""
)</f>
        <v>CDD</v>
      </c>
      <c r="E91" t="str">
        <f>IFERROR(
_xlfn.XLOOKUP(
A91,
RiskMatrix[Customer ID],#REF!
),
""
)</f>
        <v/>
      </c>
      <c r="F91" t="s">
        <v>436</v>
      </c>
      <c r="G91" t="s">
        <v>444</v>
      </c>
      <c r="H91" s="2">
        <f t="shared" ca="1" si="2"/>
        <v>46234</v>
      </c>
      <c r="I91" s="2">
        <v>46323</v>
      </c>
      <c r="J91" t="str">
        <f>_xlfn.LET(
_xlpm.AddressStatus,IFERROR(_xlfn.XLOOKUP(A91,tblCIP[Customer ID],tblCIP[Address Verified]),""),
_xlpm.SOWStatus,IFERROR(_xlfn.XLOOKUP(A91,tblScreening[Customer ID],tblScreening[Source of Wealth Obtained]),""),
IF(
AND(_xlpm.AddressStatus="Yes",_xlpm.SOWStatus="Yes"),
"None",
_xlfn.TEXTJOIN("; ",TRUE,
IF(_xlpm.AddressStatus="No","Proof of Address",""),
IF(_xlpm.SOWStatus="No","Source of Wealth","")
)
)
)</f>
        <v>None</v>
      </c>
      <c r="L91" t="s">
        <v>437</v>
      </c>
      <c r="M91" t="str">
        <f t="shared" si="3"/>
        <v>Approved</v>
      </c>
      <c r="N91" t="str" cm="1">
        <f t="array" ref="N91">_xlfn.IFS(
M91="Approved","Open Account",
M91="Rejected","Do Not Onboard",
M91="Escalated","Pending Review",
TRUE,"Awaiting Decision"
)</f>
        <v>Open Account</v>
      </c>
      <c r="O91" t="str" cm="1">
        <f t="array" ref="O91">_xlfn.IFS(
N91="Open Account","Customer approved and account opened.",
M91="Approved","Approved by MLRO. Awaiting account activation.",
M91="Rejected","Customer rejected after compliance review.",
M91="Escalated","Escalated for enhanced due diligence.",
G91="Awaiting Customer","Awaiting additional customer documentation.",
G91="In Progress","Compliance review currently in progress.",
G91="Completed","Compliance review completed. Awaiting MLRO decision.",
TRUE,"Case created and pending analyst review."
)</f>
        <v>Customer approved and account opened.</v>
      </c>
    </row>
    <row r="92" spans="1:15" x14ac:dyDescent="0.25">
      <c r="A92" t="s">
        <v>227</v>
      </c>
      <c r="B92" t="str">
        <f>IFERROR(
_xlfn.XLOOKUP(
A92,
tblCustomers[Customer ID],
tblCustomers[Full Name]
),
""
)</f>
        <v>Women First Foundation</v>
      </c>
      <c r="C92" t="str">
        <f>IFERROR(
_xlfn.XLOOKUP(
A92,
RiskMatrix[Customer ID],
RiskMatrix[Risk Rating]
),
""
)</f>
        <v>Medium</v>
      </c>
      <c r="D92" t="str">
        <f>IFERROR(
_xlfn.XLOOKUP(
A92,
RiskMatrix[Customer ID],
RiskMatrix[Due Diligence Tier]
),
""
)</f>
        <v>CDD</v>
      </c>
      <c r="E92" t="str">
        <f>IFERROR(
_xlfn.XLOOKUP(
A92,
RiskMatrix[Customer ID],#REF!
),
""
)</f>
        <v/>
      </c>
      <c r="F92" t="s">
        <v>436</v>
      </c>
      <c r="G92" t="s">
        <v>444</v>
      </c>
      <c r="H92" s="2">
        <f t="shared" ca="1" si="2"/>
        <v>46234</v>
      </c>
      <c r="I92" s="2">
        <v>46324</v>
      </c>
      <c r="J92" t="str">
        <f>_xlfn.LET(
_xlpm.AddressStatus,IFERROR(_xlfn.XLOOKUP(A92,tblCIP[Customer ID],tblCIP[Address Verified]),""),
_xlpm.SOWStatus,IFERROR(_xlfn.XLOOKUP(A92,tblScreening[Customer ID],tblScreening[Source of Wealth Obtained]),""),
IF(
AND(_xlpm.AddressStatus="Yes",_xlpm.SOWStatus="Yes"),
"None",
_xlfn.TEXTJOIN("; ",TRUE,
IF(_xlpm.AddressStatus="No","Proof of Address",""),
IF(_xlpm.SOWStatus="No","Source of Wealth","")
)
)
)</f>
        <v>None</v>
      </c>
      <c r="L92" t="s">
        <v>437</v>
      </c>
      <c r="M92" t="str">
        <f t="shared" si="3"/>
        <v>Approved</v>
      </c>
      <c r="N92" t="str" cm="1">
        <f t="array" ref="N92">_xlfn.IFS(
M92="Approved","Open Account",
M92="Rejected","Do Not Onboard",
M92="Escalated","Pending Review",
TRUE,"Awaiting Decision"
)</f>
        <v>Open Account</v>
      </c>
      <c r="O92" t="str" cm="1">
        <f t="array" ref="O92">_xlfn.IFS(
N92="Open Account","Customer approved and account opened.",
M92="Approved","Approved by MLRO. Awaiting account activation.",
M92="Rejected","Customer rejected after compliance review.",
M92="Escalated","Escalated for enhanced due diligence.",
G92="Awaiting Customer","Awaiting additional customer documentation.",
G92="In Progress","Compliance review currently in progress.",
G92="Completed","Compliance review completed. Awaiting MLRO decision.",
TRUE,"Case created and pending analyst review."
)</f>
        <v>Customer approved and account opened.</v>
      </c>
    </row>
    <row r="93" spans="1:15" x14ac:dyDescent="0.25">
      <c r="A93" t="s">
        <v>231</v>
      </c>
      <c r="B93" t="str">
        <f>IFERROR(
_xlfn.XLOOKUP(
A93,
tblCustomers[Customer ID],
tblCustomers[Full Name]
),
""
)</f>
        <v>Bright Future Foundation</v>
      </c>
      <c r="C93" t="str">
        <f>IFERROR(
_xlfn.XLOOKUP(
A93,
RiskMatrix[Customer ID],
RiskMatrix[Risk Rating]
),
""
)</f>
        <v>Medium</v>
      </c>
      <c r="D93" t="str">
        <f>IFERROR(
_xlfn.XLOOKUP(
A93,
RiskMatrix[Customer ID],
RiskMatrix[Due Diligence Tier]
),
""
)</f>
        <v>CDD</v>
      </c>
      <c r="E93" t="str">
        <f>IFERROR(
_xlfn.XLOOKUP(
A93,
RiskMatrix[Customer ID],#REF!
),
""
)</f>
        <v/>
      </c>
      <c r="F93" t="s">
        <v>436</v>
      </c>
      <c r="G93" t="s">
        <v>444</v>
      </c>
      <c r="H93" s="2">
        <f t="shared" ca="1" si="2"/>
        <v>46234</v>
      </c>
      <c r="I93" s="2">
        <v>46325</v>
      </c>
      <c r="J93" t="str">
        <f>_xlfn.LET(
_xlpm.AddressStatus,IFERROR(_xlfn.XLOOKUP(A93,tblCIP[Customer ID],tblCIP[Address Verified]),""),
_xlpm.SOWStatus,IFERROR(_xlfn.XLOOKUP(A93,tblScreening[Customer ID],tblScreening[Source of Wealth Obtained]),""),
IF(
AND(_xlpm.AddressStatus="Yes",_xlpm.SOWStatus="Yes"),
"None",
_xlfn.TEXTJOIN("; ",TRUE,
IF(_xlpm.AddressStatus="No","Proof of Address",""),
IF(_xlpm.SOWStatus="No","Source of Wealth","")
)
)
)</f>
        <v>None</v>
      </c>
      <c r="L93" t="s">
        <v>437</v>
      </c>
      <c r="M93" t="str">
        <f t="shared" si="3"/>
        <v>Approved</v>
      </c>
      <c r="N93" t="str" cm="1">
        <f t="array" ref="N93">_xlfn.IFS(
M93="Approved","Open Account",
M93="Rejected","Do Not Onboard",
M93="Escalated","Pending Review",
TRUE,"Awaiting Decision"
)</f>
        <v>Open Account</v>
      </c>
      <c r="O93" t="str" cm="1">
        <f t="array" ref="O93">_xlfn.IFS(
N93="Open Account","Customer approved and account opened.",
M93="Approved","Approved by MLRO. Awaiting account activation.",
M93="Rejected","Customer rejected after compliance review.",
M93="Escalated","Escalated for enhanced due diligence.",
G93="Awaiting Customer","Awaiting additional customer documentation.",
G93="In Progress","Compliance review currently in progress.",
G93="Completed","Compliance review completed. Awaiting MLRO decision.",
TRUE,"Case created and pending analyst review."
)</f>
        <v>Customer approved and account opened.</v>
      </c>
    </row>
    <row r="94" spans="1:15" x14ac:dyDescent="0.25">
      <c r="A94" t="s">
        <v>233</v>
      </c>
      <c r="B94" t="str">
        <f>IFERROR(
_xlfn.XLOOKUP(
A94,
tblCustomers[Customer ID],
tblCustomers[Full Name]
),
""
)</f>
        <v>Green Earth Foundation</v>
      </c>
      <c r="C94" t="str">
        <f>IFERROR(
_xlfn.XLOOKUP(
A94,
RiskMatrix[Customer ID],
RiskMatrix[Risk Rating]
),
""
)</f>
        <v>Medium</v>
      </c>
      <c r="D94" t="str">
        <f>IFERROR(
_xlfn.XLOOKUP(
A94,
RiskMatrix[Customer ID],
RiskMatrix[Due Diligence Tier]
),
""
)</f>
        <v>EDD</v>
      </c>
      <c r="E94" t="str">
        <f>IFERROR(
_xlfn.XLOOKUP(
A94,
RiskMatrix[Customer ID],#REF!
),
""
)</f>
        <v/>
      </c>
      <c r="F94" t="s">
        <v>436</v>
      </c>
      <c r="G94" t="s">
        <v>444</v>
      </c>
      <c r="H94" s="2">
        <f t="shared" ca="1" si="2"/>
        <v>46234</v>
      </c>
      <c r="I94" s="2">
        <v>46326</v>
      </c>
      <c r="J94" t="str">
        <f>_xlfn.LET(
_xlpm.AddressStatus,IFERROR(_xlfn.XLOOKUP(A94,tblCIP[Customer ID],tblCIP[Address Verified]),""),
_xlpm.SOWStatus,IFERROR(_xlfn.XLOOKUP(A94,tblScreening[Customer ID],tblScreening[Source of Wealth Obtained]),""),
IF(
AND(_xlpm.AddressStatus="Yes",_xlpm.SOWStatus="Yes"),
"None",
_xlfn.TEXTJOIN("; ",TRUE,
IF(_xlpm.AddressStatus="No","Proof of Address",""),
IF(_xlpm.SOWStatus="No","Source of Wealth","")
)
)
)</f>
        <v>None</v>
      </c>
      <c r="L94" t="s">
        <v>438</v>
      </c>
      <c r="M94" t="str">
        <f t="shared" si="3"/>
        <v>Escalated</v>
      </c>
      <c r="N94" t="str" cm="1">
        <f t="array" ref="N94">_xlfn.IFS(
M94="Approved","Open Account",
M94="Rejected","Do Not Onboard",
M94="Escalated","Pending Review",
TRUE,"Awaiting Decision"
)</f>
        <v>Pending Review</v>
      </c>
      <c r="O94" t="str" cm="1">
        <f t="array" ref="O94">_xlfn.IFS(
N94="Open Account","Customer approved and account opened.",
M94="Approved","Approved by MLRO. Awaiting account activation.",
M94="Rejected","Customer rejected after compliance review.",
M94="Escalated","Escalated for enhanced due diligence.",
G94="Awaiting Customer","Awaiting additional customer documentation.",
G94="In Progress","Compliance review currently in progress.",
G94="Completed","Compliance review completed. Awaiting MLRO decision.",
TRUE,"Case created and pending analyst review."
)</f>
        <v>Escalated for enhanced due diligence.</v>
      </c>
    </row>
    <row r="95" spans="1:15" x14ac:dyDescent="0.25">
      <c r="A95" t="s">
        <v>235</v>
      </c>
      <c r="B95" t="str">
        <f>IFERROR(
_xlfn.XLOOKUP(
A95,
tblCustomers[Customer ID],
tblCustomers[Full Name]
),
""
)</f>
        <v>Bright Future Foundation</v>
      </c>
      <c r="C95" t="str">
        <f>IFERROR(
_xlfn.XLOOKUP(
A95,
RiskMatrix[Customer ID],
RiskMatrix[Risk Rating]
),
""
)</f>
        <v>Low</v>
      </c>
      <c r="D95" t="str">
        <f>IFERROR(
_xlfn.XLOOKUP(
A95,
RiskMatrix[Customer ID],
RiskMatrix[Due Diligence Tier]
),
""
)</f>
        <v>SDD</v>
      </c>
      <c r="E95" t="str">
        <f>IFERROR(
_xlfn.XLOOKUP(
A95,
RiskMatrix[Customer ID],#REF!
),
""
)</f>
        <v/>
      </c>
      <c r="F95" t="s">
        <v>436</v>
      </c>
      <c r="G95" t="s">
        <v>444</v>
      </c>
      <c r="H95" s="2">
        <f t="shared" ca="1" si="2"/>
        <v>46234</v>
      </c>
      <c r="I95" s="2">
        <v>46327</v>
      </c>
      <c r="J95" t="str">
        <f>_xlfn.LET(
_xlpm.AddressStatus,IFERROR(_xlfn.XLOOKUP(A95,tblCIP[Customer ID],tblCIP[Address Verified]),""),
_xlpm.SOWStatus,IFERROR(_xlfn.XLOOKUP(A95,tblScreening[Customer ID],tblScreening[Source of Wealth Obtained]),""),
IF(
AND(_xlpm.AddressStatus="Yes",_xlpm.SOWStatus="Yes"),
"None",
_xlfn.TEXTJOIN("; ",TRUE,
IF(_xlpm.AddressStatus="No","Proof of Address",""),
IF(_xlpm.SOWStatus="No","Source of Wealth","")
)
)
)</f>
        <v>None</v>
      </c>
      <c r="L95" t="s">
        <v>437</v>
      </c>
      <c r="M95" t="str">
        <f t="shared" si="3"/>
        <v>Approved</v>
      </c>
      <c r="N95" t="str" cm="1">
        <f t="array" ref="N95">_xlfn.IFS(
M95="Approved","Open Account",
M95="Rejected","Do Not Onboard",
M95="Escalated","Pending Review",
TRUE,"Awaiting Decision"
)</f>
        <v>Open Account</v>
      </c>
      <c r="O95" t="str" cm="1">
        <f t="array" ref="O95">_xlfn.IFS(
N95="Open Account","Customer approved and account opened.",
M95="Approved","Approved by MLRO. Awaiting account activation.",
M95="Rejected","Customer rejected after compliance review.",
M95="Escalated","Escalated for enhanced due diligence.",
G95="Awaiting Customer","Awaiting additional customer documentation.",
G95="In Progress","Compliance review currently in progress.",
G95="Completed","Compliance review completed. Awaiting MLRO decision.",
TRUE,"Case created and pending analyst review."
)</f>
        <v>Customer approved and account opened.</v>
      </c>
    </row>
    <row r="96" spans="1:15" x14ac:dyDescent="0.25">
      <c r="A96" t="s">
        <v>236</v>
      </c>
      <c r="B96" t="str">
        <f>IFERROR(
_xlfn.XLOOKUP(
A96,
tblCustomers[Customer ID],
tblCustomers[Full Name]
),
""
)</f>
        <v>Health Access Foundation</v>
      </c>
      <c r="C96" t="str">
        <f>IFERROR(
_xlfn.XLOOKUP(
A96,
RiskMatrix[Customer ID],
RiskMatrix[Risk Rating]
),
""
)</f>
        <v>Medium</v>
      </c>
      <c r="D96" t="str">
        <f>IFERROR(
_xlfn.XLOOKUP(
A96,
RiskMatrix[Customer ID],
RiskMatrix[Due Diligence Tier]
),
""
)</f>
        <v>CDD</v>
      </c>
      <c r="E96" t="str">
        <f>IFERROR(
_xlfn.XLOOKUP(
A96,
RiskMatrix[Customer ID],#REF!
),
""
)</f>
        <v/>
      </c>
      <c r="F96" t="s">
        <v>436</v>
      </c>
      <c r="G96" t="s">
        <v>444</v>
      </c>
      <c r="H96" s="2">
        <f t="shared" ca="1" si="2"/>
        <v>46234</v>
      </c>
      <c r="I96" s="2">
        <v>46328</v>
      </c>
      <c r="J96" t="str">
        <f>_xlfn.LET(
_xlpm.AddressStatus,IFERROR(_xlfn.XLOOKUP(A96,tblCIP[Customer ID],tblCIP[Address Verified]),""),
_xlpm.SOWStatus,IFERROR(_xlfn.XLOOKUP(A96,tblScreening[Customer ID],tblScreening[Source of Wealth Obtained]),""),
IF(
AND(_xlpm.AddressStatus="Yes",_xlpm.SOWStatus="Yes"),
"None",
_xlfn.TEXTJOIN("; ",TRUE,
IF(_xlpm.AddressStatus="No","Proof of Address",""),
IF(_xlpm.SOWStatus="No","Source of Wealth","")
)
)
)</f>
        <v>None</v>
      </c>
      <c r="L96" t="s">
        <v>437</v>
      </c>
      <c r="M96" t="str">
        <f t="shared" si="3"/>
        <v>Approved</v>
      </c>
      <c r="N96" t="str" cm="1">
        <f t="array" ref="N96">_xlfn.IFS(
M96="Approved","Open Account",
M96="Rejected","Do Not Onboard",
M96="Escalated","Pending Review",
TRUE,"Awaiting Decision"
)</f>
        <v>Open Account</v>
      </c>
      <c r="O96" t="str" cm="1">
        <f t="array" ref="O96">_xlfn.IFS(
N96="Open Account","Customer approved and account opened.",
M96="Approved","Approved by MLRO. Awaiting account activation.",
M96="Rejected","Customer rejected after compliance review.",
M96="Escalated","Escalated for enhanced due diligence.",
G96="Awaiting Customer","Awaiting additional customer documentation.",
G96="In Progress","Compliance review currently in progress.",
G96="Completed","Compliance review completed. Awaiting MLRO decision.",
TRUE,"Case created and pending analyst review."
)</f>
        <v>Customer approved and account opened.</v>
      </c>
    </row>
    <row r="97" spans="1:15" x14ac:dyDescent="0.25">
      <c r="A97" t="s">
        <v>238</v>
      </c>
      <c r="B97" t="str">
        <f>IFERROR(
_xlfn.XLOOKUP(
A97,
tblCustomers[Customer ID],
tblCustomers[Full Name]
),
""
)</f>
        <v>Women First Foundation</v>
      </c>
      <c r="C97" t="str">
        <f>IFERROR(
_xlfn.XLOOKUP(
A97,
RiskMatrix[Customer ID],
RiskMatrix[Risk Rating]
),
""
)</f>
        <v>Medium</v>
      </c>
      <c r="D97" t="str">
        <f>IFERROR(
_xlfn.XLOOKUP(
A97,
RiskMatrix[Customer ID],
RiskMatrix[Due Diligence Tier]
),
""
)</f>
        <v>CDD</v>
      </c>
      <c r="E97" t="str">
        <f>IFERROR(
_xlfn.XLOOKUP(
A97,
RiskMatrix[Customer ID],#REF!
),
""
)</f>
        <v/>
      </c>
      <c r="F97" t="s">
        <v>436</v>
      </c>
      <c r="G97" t="s">
        <v>444</v>
      </c>
      <c r="H97" s="2">
        <f t="shared" ca="1" si="2"/>
        <v>46234</v>
      </c>
      <c r="I97" s="2">
        <v>46329</v>
      </c>
      <c r="J97" t="str">
        <f>_xlfn.LET(
_xlpm.AddressStatus,IFERROR(_xlfn.XLOOKUP(A97,tblCIP[Customer ID],tblCIP[Address Verified]),""),
_xlpm.SOWStatus,IFERROR(_xlfn.XLOOKUP(A97,tblScreening[Customer ID],tblScreening[Source of Wealth Obtained]),""),
IF(
AND(_xlpm.AddressStatus="Yes",_xlpm.SOWStatus="Yes"),
"None",
_xlfn.TEXTJOIN("; ",TRUE,
IF(_xlpm.AddressStatus="No","Proof of Address",""),
IF(_xlpm.SOWStatus="No","Source of Wealth","")
)
)
)</f>
        <v>None</v>
      </c>
      <c r="L97" t="s">
        <v>437</v>
      </c>
      <c r="M97" t="str">
        <f t="shared" si="3"/>
        <v>Approved</v>
      </c>
      <c r="N97" t="str" cm="1">
        <f t="array" ref="N97">_xlfn.IFS(
M97="Approved","Open Account",
M97="Rejected","Do Not Onboard",
M97="Escalated","Pending Review",
TRUE,"Awaiting Decision"
)</f>
        <v>Open Account</v>
      </c>
      <c r="O97" t="str" cm="1">
        <f t="array" ref="O97">_xlfn.IFS(
N97="Open Account","Customer approved and account opened.",
M97="Approved","Approved by MLRO. Awaiting account activation.",
M97="Rejected","Customer rejected after compliance review.",
M97="Escalated","Escalated for enhanced due diligence.",
G97="Awaiting Customer","Awaiting additional customer documentation.",
G97="In Progress","Compliance review currently in progress.",
G97="Completed","Compliance review completed. Awaiting MLRO decision.",
TRUE,"Case created and pending analyst review."
)</f>
        <v>Customer approved and account opened.</v>
      </c>
    </row>
    <row r="98" spans="1:15" x14ac:dyDescent="0.25">
      <c r="A98" t="s">
        <v>239</v>
      </c>
      <c r="B98" t="str">
        <f>IFERROR(
_xlfn.XLOOKUP(
A98,
tblCustomers[Customer ID],
tblCustomers[Full Name]
),
""
)</f>
        <v>Green Earth Foundation</v>
      </c>
      <c r="C98" t="str">
        <f>IFERROR(
_xlfn.XLOOKUP(
A98,
RiskMatrix[Customer ID],
RiskMatrix[Risk Rating]
),
""
)</f>
        <v>High</v>
      </c>
      <c r="D98" t="str">
        <f>IFERROR(
_xlfn.XLOOKUP(
A98,
RiskMatrix[Customer ID],
RiskMatrix[Due Diligence Tier]
),
""
)</f>
        <v>EDD</v>
      </c>
      <c r="E98" t="str">
        <f>IFERROR(
_xlfn.XLOOKUP(
A98,
RiskMatrix[Customer ID],#REF!
),
""
)</f>
        <v/>
      </c>
      <c r="F98" t="s">
        <v>436</v>
      </c>
      <c r="G98" t="s">
        <v>444</v>
      </c>
      <c r="H98" s="2">
        <f t="shared" ca="1" si="2"/>
        <v>46234</v>
      </c>
      <c r="I98" s="2">
        <v>46330</v>
      </c>
      <c r="J98" t="str">
        <f>_xlfn.LET(
_xlpm.AddressStatus,IFERROR(_xlfn.XLOOKUP(A98,tblCIP[Customer ID],tblCIP[Address Verified]),""),
_xlpm.SOWStatus,IFERROR(_xlfn.XLOOKUP(A98,tblScreening[Customer ID],tblScreening[Source of Wealth Obtained]),""),
IF(
AND(_xlpm.AddressStatus="Yes",_xlpm.SOWStatus="Yes"),
"None",
_xlfn.TEXTJOIN("; ",TRUE,
IF(_xlpm.AddressStatus="No","Proof of Address",""),
IF(_xlpm.SOWStatus="No","Source of Wealth","")
)
)
)</f>
        <v>Source of Wealth</v>
      </c>
      <c r="L98" t="s">
        <v>440</v>
      </c>
      <c r="M98" t="str">
        <f t="shared" si="3"/>
        <v>Rejected</v>
      </c>
      <c r="N98" t="str" cm="1">
        <f t="array" ref="N98">_xlfn.IFS(
M98="Approved","Open Account",
M98="Rejected","Do Not Onboard",
M98="Escalated","Pending Review",
TRUE,"Awaiting Decision"
)</f>
        <v>Do Not Onboard</v>
      </c>
      <c r="O98" t="str" cm="1">
        <f t="array" ref="O98">_xlfn.IFS(
N98="Open Account","Customer approved and account opened.",
M98="Approved","Approved by MLRO. Awaiting account activation.",
M98="Rejected","Customer rejected after compliance review.",
M98="Escalated","Escalated for enhanced due diligence.",
G98="Awaiting Customer","Awaiting additional customer documentation.",
G98="In Progress","Compliance review currently in progress.",
G98="Completed","Compliance review completed. Awaiting MLRO decision.",
TRUE,"Case created and pending analyst review."
)</f>
        <v>Customer rejected after compliance review.</v>
      </c>
    </row>
    <row r="99" spans="1:15" x14ac:dyDescent="0.25">
      <c r="A99" t="s">
        <v>240</v>
      </c>
      <c r="B99" t="str">
        <f>IFERROR(
_xlfn.XLOOKUP(
A99,
tblCustomers[Customer ID],
tblCustomers[Full Name]
),
""
)</f>
        <v>Health Access Foundation</v>
      </c>
      <c r="C99" t="str">
        <f>IFERROR(
_xlfn.XLOOKUP(
A99,
RiskMatrix[Customer ID],
RiskMatrix[Risk Rating]
),
""
)</f>
        <v>Medium</v>
      </c>
      <c r="D99" t="str">
        <f>IFERROR(
_xlfn.XLOOKUP(
A99,
RiskMatrix[Customer ID],
RiskMatrix[Due Diligence Tier]
),
""
)</f>
        <v>EDD</v>
      </c>
      <c r="E99" t="str">
        <f>IFERROR(
_xlfn.XLOOKUP(
A99,
RiskMatrix[Customer ID],#REF!
),
""
)</f>
        <v/>
      </c>
      <c r="F99" t="s">
        <v>436</v>
      </c>
      <c r="G99" t="s">
        <v>444</v>
      </c>
      <c r="H99" s="2">
        <f t="shared" ca="1" si="2"/>
        <v>46234</v>
      </c>
      <c r="I99" s="2">
        <v>46331</v>
      </c>
      <c r="J99" t="str">
        <f>_xlfn.LET(
_xlpm.AddressStatus,IFERROR(_xlfn.XLOOKUP(A99,tblCIP[Customer ID],tblCIP[Address Verified]),""),
_xlpm.SOWStatus,IFERROR(_xlfn.XLOOKUP(A99,tblScreening[Customer ID],tblScreening[Source of Wealth Obtained]),""),
IF(
AND(_xlpm.AddressStatus="Yes",_xlpm.SOWStatus="Yes"),
"None",
_xlfn.TEXTJOIN("; ",TRUE,
IF(_xlpm.AddressStatus="No","Proof of Address",""),
IF(_xlpm.SOWStatus="No","Source of Wealth","")
)
)
)</f>
        <v>None</v>
      </c>
      <c r="L99" t="s">
        <v>438</v>
      </c>
      <c r="M99" t="str">
        <f t="shared" si="3"/>
        <v>Escalated</v>
      </c>
      <c r="N99" t="str" cm="1">
        <f t="array" ref="N99">_xlfn.IFS(
M99="Approved","Open Account",
M99="Rejected","Do Not Onboard",
M99="Escalated","Pending Review",
TRUE,"Awaiting Decision"
)</f>
        <v>Pending Review</v>
      </c>
      <c r="O99" t="str" cm="1">
        <f t="array" ref="O99">_xlfn.IFS(
N99="Open Account","Customer approved and account opened.",
M99="Approved","Approved by MLRO. Awaiting account activation.",
M99="Rejected","Customer rejected after compliance review.",
M99="Escalated","Escalated for enhanced due diligence.",
G99="Awaiting Customer","Awaiting additional customer documentation.",
G99="In Progress","Compliance review currently in progress.",
G99="Completed","Compliance review completed. Awaiting MLRO decision.",
TRUE,"Case created and pending analyst review."
)</f>
        <v>Escalated for enhanced due diligence.</v>
      </c>
    </row>
    <row r="100" spans="1:15" x14ac:dyDescent="0.25">
      <c r="A100" t="s">
        <v>241</v>
      </c>
      <c r="B100" t="str">
        <f>IFERROR(
_xlfn.XLOOKUP(
A100,
tblCustomers[Customer ID],
tblCustomers[Full Name]
),
""
)</f>
        <v>Women First Foundation</v>
      </c>
      <c r="C100" t="str">
        <f>IFERROR(
_xlfn.XLOOKUP(
A100,
RiskMatrix[Customer ID],
RiskMatrix[Risk Rating]
),
""
)</f>
        <v>Low</v>
      </c>
      <c r="D100" t="str">
        <f>IFERROR(
_xlfn.XLOOKUP(
A100,
RiskMatrix[Customer ID],
RiskMatrix[Due Diligence Tier]
),
""
)</f>
        <v>SDD</v>
      </c>
      <c r="E100" t="str">
        <f>IFERROR(
_xlfn.XLOOKUP(
A100,
RiskMatrix[Customer ID],#REF!
),
""
)</f>
        <v/>
      </c>
      <c r="F100" t="s">
        <v>436</v>
      </c>
      <c r="G100" t="s">
        <v>444</v>
      </c>
      <c r="H100" s="2">
        <f t="shared" ca="1" si="2"/>
        <v>46234</v>
      </c>
      <c r="I100" s="2">
        <v>46332</v>
      </c>
      <c r="J100" t="str">
        <f>_xlfn.LET(
_xlpm.AddressStatus,IFERROR(_xlfn.XLOOKUP(A100,tblCIP[Customer ID],tblCIP[Address Verified]),""),
_xlpm.SOWStatus,IFERROR(_xlfn.XLOOKUP(A100,tblScreening[Customer ID],tblScreening[Source of Wealth Obtained]),""),
IF(
AND(_xlpm.AddressStatus="Yes",_xlpm.SOWStatus="Yes"),
"None",
_xlfn.TEXTJOIN("; ",TRUE,
IF(_xlpm.AddressStatus="No","Proof of Address",""),
IF(_xlpm.SOWStatus="No","Source of Wealth","")
)
)
)</f>
        <v>None</v>
      </c>
      <c r="L100" t="s">
        <v>437</v>
      </c>
      <c r="M100" t="str">
        <f t="shared" si="3"/>
        <v>Approved</v>
      </c>
      <c r="N100" t="str" cm="1">
        <f t="array" ref="N100">_xlfn.IFS(
M100="Approved","Open Account",
M100="Rejected","Do Not Onboard",
M100="Escalated","Pending Review",
TRUE,"Awaiting Decision"
)</f>
        <v>Open Account</v>
      </c>
      <c r="O100" t="str" cm="1">
        <f t="array" ref="O100">_xlfn.IFS(
N100="Open Account","Customer approved and account opened.",
M100="Approved","Approved by MLRO. Awaiting account activation.",
M100="Rejected","Customer rejected after compliance review.",
M100="Escalated","Escalated for enhanced due diligence.",
G100="Awaiting Customer","Awaiting additional customer documentation.",
G100="In Progress","Compliance review currently in progress.",
G100="Completed","Compliance review completed. Awaiting MLRO decision.",
TRUE,"Case created and pending analyst review."
)</f>
        <v>Customer approved and account opened.</v>
      </c>
    </row>
    <row r="101" spans="1:15" x14ac:dyDescent="0.25">
      <c r="A101" t="s">
        <v>242</v>
      </c>
      <c r="B101" t="str">
        <f>IFERROR(
_xlfn.XLOOKUP(
A101,
tblCustomers[Customer ID],
tblCustomers[Full Name]
),
""
)</f>
        <v>Bright Future Foundation</v>
      </c>
      <c r="C101" t="str">
        <f>IFERROR(
_xlfn.XLOOKUP(
A101,
RiskMatrix[Customer ID],
RiskMatrix[Risk Rating]
),
""
)</f>
        <v>Low</v>
      </c>
      <c r="D101" t="str">
        <f>IFERROR(
_xlfn.XLOOKUP(
A101,
RiskMatrix[Customer ID],
RiskMatrix[Due Diligence Tier]
),
""
)</f>
        <v>SDD</v>
      </c>
      <c r="E101" t="str">
        <f>IFERROR(
_xlfn.XLOOKUP(
A101,
RiskMatrix[Customer ID],#REF!
),
""
)</f>
        <v/>
      </c>
      <c r="F101" t="s">
        <v>436</v>
      </c>
      <c r="G101" t="s">
        <v>444</v>
      </c>
      <c r="H101" s="2">
        <f t="shared" ca="1" si="2"/>
        <v>46234</v>
      </c>
      <c r="I101" s="2">
        <v>46333</v>
      </c>
      <c r="J101" t="str">
        <f>_xlfn.LET(
_xlpm.AddressStatus,IFERROR(_xlfn.XLOOKUP(A101,tblCIP[Customer ID],tblCIP[Address Verified]),""),
_xlpm.SOWStatus,IFERROR(_xlfn.XLOOKUP(A101,tblScreening[Customer ID],tblScreening[Source of Wealth Obtained]),""),
IF(
AND(_xlpm.AddressStatus="Yes",_xlpm.SOWStatus="Yes"),
"None",
_xlfn.TEXTJOIN("; ",TRUE,
IF(_xlpm.AddressStatus="No","Proof of Address",""),
IF(_xlpm.SOWStatus="No","Source of Wealth","")
)
)
)</f>
        <v>None</v>
      </c>
      <c r="L101" t="s">
        <v>437</v>
      </c>
      <c r="M101" t="str">
        <f t="shared" si="3"/>
        <v>Approved</v>
      </c>
      <c r="N101" t="str" cm="1">
        <f t="array" ref="N101">_xlfn.IFS(
M101="Approved","Open Account",
M101="Rejected","Do Not Onboard",
M101="Escalated","Pending Review",
TRUE,"Awaiting Decision"
)</f>
        <v>Open Account</v>
      </c>
      <c r="O101" t="str" cm="1">
        <f t="array" ref="O101">_xlfn.IFS(
N101="Open Account","Customer approved and account opened.",
M101="Approved","Approved by MLRO. Awaiting account activation.",
M101="Rejected","Customer rejected after compliance review.",
M101="Escalated","Escalated for enhanced due diligence.",
G101="Awaiting Customer","Awaiting additional customer documentation.",
G101="In Progress","Compliance review currently in progress.",
G101="Completed","Compliance review completed. Awaiting MLRO decision.",
TRUE,"Case created and pending analyst review."
)</f>
        <v>Customer approved and account opened.</v>
      </c>
    </row>
  </sheetData>
  <conditionalFormatting sqref="G1:G1048576">
    <cfRule type="containsText" dxfId="19" priority="7" operator="containsText" text="Completed">
      <formula>NOT(ISERROR(SEARCH("Completed",G1)))</formula>
    </cfRule>
  </conditionalFormatting>
  <conditionalFormatting sqref="M1:M1048576">
    <cfRule type="containsText" dxfId="18" priority="4" operator="containsText" text="Escalated">
      <formula>NOT(ISERROR(SEARCH("Escalated",M1)))</formula>
    </cfRule>
    <cfRule type="containsText" dxfId="17" priority="5" operator="containsText" text="Approved">
      <formula>NOT(ISERROR(SEARCH("Approved",M1)))</formula>
    </cfRule>
    <cfRule type="containsText" dxfId="16" priority="6" operator="containsText" text="Rejected">
      <formula>NOT(ISERROR(SEARCH("Rejected",M1)))</formula>
    </cfRule>
  </conditionalFormatting>
  <conditionalFormatting sqref="N1:N1048576">
    <cfRule type="containsText" dxfId="15" priority="1" operator="containsText" text="Pending Review">
      <formula>NOT(ISERROR(SEARCH("Pending Review",N1)))</formula>
    </cfRule>
    <cfRule type="containsText" dxfId="14" priority="2" operator="containsText" text="Do not Onboard">
      <formula>NOT(ISERROR(SEARCH("Do not Onboard",N1)))</formula>
    </cfRule>
    <cfRule type="containsText" dxfId="13" priority="3" operator="containsText" text="Open Account">
      <formula>NOT(ISERROR(SEARCH("Open Account",N1)))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F087B55-6036-42E2-AE90-0D1B57881A08}">
          <x14:formula1>
            <xm:f>'Lookup Table'!$Y$2:$Y$6</xm:f>
          </x14:formula1>
          <xm:sqref>G1:G1048576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35C06-B5F3-4605-8391-360F9B329283}">
  <dimension ref="A1:P101"/>
  <sheetViews>
    <sheetView topLeftCell="H1" zoomScaleNormal="100" workbookViewId="0">
      <selection activeCell="O5" sqref="O5"/>
    </sheetView>
  </sheetViews>
  <sheetFormatPr defaultRowHeight="15" x14ac:dyDescent="0.25"/>
  <cols>
    <col min="1" max="1" width="14" customWidth="1"/>
    <col min="2" max="2" width="27" bestFit="1" customWidth="1"/>
    <col min="3" max="3" width="17.85546875" customWidth="1"/>
    <col min="4" max="4" width="18" customWidth="1"/>
    <col min="5" max="5" width="15.85546875" customWidth="1"/>
    <col min="6" max="6" width="15.42578125" bestFit="1" customWidth="1"/>
    <col min="7" max="7" width="18.28515625" customWidth="1"/>
    <col min="8" max="8" width="25" customWidth="1"/>
    <col min="9" max="9" width="31.42578125" customWidth="1"/>
    <col min="10" max="10" width="16.7109375" customWidth="1"/>
    <col min="11" max="11" width="14.42578125" customWidth="1"/>
    <col min="12" max="12" width="17.28515625" customWidth="1"/>
    <col min="13" max="13" width="16.85546875" customWidth="1"/>
    <col min="14" max="14" width="14.42578125" customWidth="1"/>
    <col min="15" max="15" width="17.42578125" customWidth="1"/>
    <col min="16" max="16" width="20.5703125" customWidth="1"/>
  </cols>
  <sheetData>
    <row r="1" spans="1:16" s="7" customFormat="1" x14ac:dyDescent="0.25">
      <c r="A1" s="6" t="s">
        <v>0</v>
      </c>
      <c r="B1" s="6" t="s">
        <v>426</v>
      </c>
      <c r="C1" s="6" t="s">
        <v>450</v>
      </c>
      <c r="D1" s="6" t="s">
        <v>451</v>
      </c>
      <c r="E1" s="6" t="s">
        <v>452</v>
      </c>
      <c r="F1" s="6" t="s">
        <v>4</v>
      </c>
      <c r="G1" s="6" t="s">
        <v>8</v>
      </c>
      <c r="H1" s="6" t="s">
        <v>453</v>
      </c>
      <c r="I1" s="6" t="s">
        <v>454</v>
      </c>
      <c r="J1" s="6" t="s">
        <v>455</v>
      </c>
      <c r="K1" s="6" t="s">
        <v>456</v>
      </c>
      <c r="L1" s="6" t="s">
        <v>457</v>
      </c>
      <c r="M1" s="6" t="s">
        <v>458</v>
      </c>
      <c r="N1" s="6" t="s">
        <v>459</v>
      </c>
      <c r="O1" s="6" t="s">
        <v>404</v>
      </c>
      <c r="P1" s="6" t="s">
        <v>460</v>
      </c>
    </row>
    <row r="2" spans="1:16" x14ac:dyDescent="0.25">
      <c r="A2" t="str">
        <f>IF(_xlfn.XLOOKUP(DueDiligenceRegister[[#This Row],[Customer ID]], DueDiligenceRegister[Customer ID], DueDiligenceRegister[Account Status])="Open Account", DueDiligenceRegister[[#This Row],[Customer ID]], "Ineligible / Rejected")</f>
        <v>C0001</v>
      </c>
      <c r="B2" t="str">
        <f>IFERROR(
_xlfn.XLOOKUP(
A2,
tblCustomers[Customer ID],
tblCustomers[Full Name]
),
"")</f>
        <v>Fatima Eze</v>
      </c>
      <c r="C2" s="2">
        <f ca="1">TODAY()-RANDBETWEEN(0,180)</f>
        <v>46100</v>
      </c>
      <c r="D2" t="str">
        <f>tblTransactionType[[#This Row],[Transaction Type]]</f>
        <v>Cash Deposit</v>
      </c>
      <c r="E2">
        <f ca="1">ROUND(RAND()*15000+50,2)</f>
        <v>3679.69</v>
      </c>
      <c r="F2" t="str">
        <f>IFERROR(
_xlfn.XLOOKUP(
A2,
tblCustomers[Customer ID],
tblCustomers[Country]
),
"")</f>
        <v>South Africa</v>
      </c>
      <c r="G2" t="str">
        <f>IFERROR(
_xlfn.XLOOKUP(
A2,
tblCustomers[Customer ID],
tblCustomers[Delivery Channel]
),
"")</f>
        <v>Branch</v>
      </c>
      <c r="H2">
        <f>IFERROR(
_xlfn.XLOOKUP(
A2,
tblCustomers[Customer ID],
tblCustomers[Annual Income (USD)]
),
0)</f>
        <v>1202122</v>
      </c>
      <c r="I2">
        <f t="shared" ref="I2:I33" ca="1" si="0">COUNTIFS(A:A,A2,C:C,"&gt;="&amp;TODAY()-30)</f>
        <v>0</v>
      </c>
      <c r="J2" t="str">
        <f t="shared" ref="J2:J33" ca="1" si="1">IF(E2&gt;=H2*0.25,"Yes","No")</f>
        <v>No</v>
      </c>
      <c r="K2" t="str">
        <f t="shared" ref="K2:K65" ca="1" si="2">IF(I2&gt;15,"Yes","No")</f>
        <v>No</v>
      </c>
      <c r="L2" t="str">
        <f>IF(
ISNUMBER(
MATCH(
G2,
tblHighRiskCountries[Country],
0)),
"Yes",
"No")</f>
        <v>No</v>
      </c>
      <c r="M2" t="str">
        <f t="shared" ref="M2:M33" ca="1" si="3">IF(COUNTIFS(A:A,A2,E:E,"&gt;=9000",E:E,"&lt;=9999")&gt;=5,"Yes","No")</f>
        <v>No</v>
      </c>
      <c r="N2" t="str">
        <f ca="1">_xlfn.IFS(J2="Yes","Alert",K2="Yes","Alert",L2="Yes","Alert",M2="Yes","Alert",TRUE,"Normal")</f>
        <v>Normal</v>
      </c>
      <c r="O2">
        <f ca="1">_xlfn.IFS(N2="Normal",1,AND(J2="Yes",K2="No"),2,AND(K2="Yes",J2="No"),3,AND(J2="Yes",K2="Yes"),4,OR(L2="Yes",M2="Yes"),5)</f>
        <v>1</v>
      </c>
      <c r="P2" t="str">
        <f ca="1">IF(O2&gt;=4,"Yes","No")</f>
        <v>No</v>
      </c>
    </row>
    <row r="3" spans="1:16" x14ac:dyDescent="0.25">
      <c r="A3" t="str">
        <f>IF(_xlfn.XLOOKUP(DueDiligenceRegister[[#This Row],[Customer ID]], DueDiligenceRegister[Customer ID], DueDiligenceRegister[Account Status])="Open Account", DueDiligenceRegister[[#This Row],[Customer ID]], "Ineligible / Rejected")</f>
        <v>C0002</v>
      </c>
      <c r="B3" t="str">
        <f>IFERROR(
_xlfn.XLOOKUP(
A3,
tblCustomers[Customer ID],
tblCustomers[Full Name]
),
"")</f>
        <v>Precious Adeyemi</v>
      </c>
      <c r="C3" s="2">
        <f t="shared" ref="C3:C66" ca="1" si="4">TODAY()-RANDBETWEEN(0,180)</f>
        <v>46180</v>
      </c>
      <c r="D3" t="str">
        <f>tblTransactionType[[#This Row],[Transaction Type]]</f>
        <v>Cash Withdrawal</v>
      </c>
      <c r="E3">
        <f t="shared" ref="E3:E66" ca="1" si="5">ROUND(RAND()*15000+50,2)</f>
        <v>5012.5600000000004</v>
      </c>
      <c r="F3" t="str">
        <f>IFERROR(
_xlfn.XLOOKUP(
A3,
tblCustomers[Customer ID],
tblCustomers[Country]
),
"")</f>
        <v>Kenya</v>
      </c>
      <c r="G3" t="str">
        <f>IFERROR(
_xlfn.XLOOKUP(
A3,
tblCustomers[Customer ID],
tblCustomers[Delivery Channel]
),
"")</f>
        <v>Branch</v>
      </c>
      <c r="H3">
        <f>IFERROR(
_xlfn.XLOOKUP(
A3,
tblCustomers[Customer ID],
tblCustomers[Annual Income (USD)]
),
0)</f>
        <v>2489030</v>
      </c>
      <c r="I3">
        <f t="shared" ca="1" si="0"/>
        <v>0</v>
      </c>
      <c r="J3" t="str">
        <f t="shared" ca="1" si="1"/>
        <v>No</v>
      </c>
      <c r="K3" t="str">
        <f t="shared" ca="1" si="2"/>
        <v>No</v>
      </c>
      <c r="L3" t="str">
        <f>IF(
ISNUMBER(
MATCH(
G3,
tblHighRiskCountries[Country],
0)),
"Yes",
"No")</f>
        <v>No</v>
      </c>
      <c r="M3" t="str">
        <f t="shared" ca="1" si="3"/>
        <v>No</v>
      </c>
      <c r="N3" t="str">
        <f t="shared" ref="N3:N66" ca="1" si="6">_xlfn.IFS(J3="Yes","Alert",K3="Yes","Alert",L3="Yes","Alert",M3="Yes","Alert",TRUE,"Normal")</f>
        <v>Normal</v>
      </c>
      <c r="O3">
        <f t="shared" ref="O3:O41" ca="1" si="7">_xlfn.IFS(N3="Normal",1,AND(J3="Yes",K3="No"),2,AND(K3="Yes",J3="No"),3,AND(J3="Yes",K3="Yes"),4,OR(L3="Yes",M3="Yes"),5)</f>
        <v>1</v>
      </c>
      <c r="P3" t="str">
        <f t="shared" ref="P3:P65" ca="1" si="8">IF(O3&gt;=4,"Yes","No")</f>
        <v>No</v>
      </c>
    </row>
    <row r="4" spans="1:16" x14ac:dyDescent="0.25">
      <c r="A4" t="str">
        <f>IF(_xlfn.XLOOKUP(DueDiligenceRegister[[#This Row],[Customer ID]], DueDiligenceRegister[Customer ID], DueDiligenceRegister[Account Status])="Open Account", DueDiligenceRegister[[#This Row],[Customer ID]], "Ineligible / Rejected")</f>
        <v>C0003</v>
      </c>
      <c r="B4" t="str">
        <f>IFERROR(
_xlfn.XLOOKUP(
A4,
tblCustomers[Customer ID],
tblCustomers[Full Name]
),
"")</f>
        <v>Zainab Osei</v>
      </c>
      <c r="C4" s="2">
        <f t="shared" ca="1" si="4"/>
        <v>46210</v>
      </c>
      <c r="D4" t="str">
        <f>tblTransactionType[[#This Row],[Transaction Type]]</f>
        <v>Local Transfer</v>
      </c>
      <c r="E4">
        <f t="shared" ca="1" si="5"/>
        <v>7480.69</v>
      </c>
      <c r="F4" t="str">
        <f>IFERROR(
_xlfn.XLOOKUP(
A4,
tblCustomers[Customer ID],
tblCustomers[Country]
),
"")</f>
        <v>Ghana</v>
      </c>
      <c r="G4" t="str">
        <f>IFERROR(
_xlfn.XLOOKUP(
A4,
tblCustomers[Customer ID],
tblCustomers[Delivery Channel]
),
"")</f>
        <v>Online</v>
      </c>
      <c r="H4">
        <f>IFERROR(
_xlfn.XLOOKUP(
A4,
tblCustomers[Customer ID],
tblCustomers[Annual Income (USD)]
),
0)</f>
        <v>3995350</v>
      </c>
      <c r="I4">
        <f t="shared" ca="1" si="0"/>
        <v>1</v>
      </c>
      <c r="J4" t="str">
        <f t="shared" ca="1" si="1"/>
        <v>No</v>
      </c>
      <c r="K4" t="str">
        <f t="shared" ca="1" si="2"/>
        <v>No</v>
      </c>
      <c r="L4" t="str">
        <f>IF(
ISNUMBER(
MATCH(
G4,
tblHighRiskCountries[Country],
0)),
"Yes",
"No")</f>
        <v>No</v>
      </c>
      <c r="M4" t="str">
        <f t="shared" ca="1" si="3"/>
        <v>No</v>
      </c>
      <c r="N4" t="str">
        <f ca="1">_xlfn.IFS(J4="Yes","Alert",K4="Yes","Alert",L4="Yes","Alert",M4="Yes","Alert",TRUE,"Normal")</f>
        <v>Normal</v>
      </c>
      <c r="O4">
        <f t="shared" ca="1" si="7"/>
        <v>1</v>
      </c>
      <c r="P4" t="str">
        <f t="shared" ca="1" si="8"/>
        <v>No</v>
      </c>
    </row>
    <row r="5" spans="1:16" x14ac:dyDescent="0.25">
      <c r="A5" t="str">
        <f>IF(_xlfn.XLOOKUP(DueDiligenceRegister[[#This Row],[Customer ID]], DueDiligenceRegister[Customer ID], DueDiligenceRegister[Account Status])="Open Account", DueDiligenceRegister[[#This Row],[Customer ID]], "Ineligible / Rejected")</f>
        <v>C0004</v>
      </c>
      <c r="B5" t="str">
        <f>IFERROR(
_xlfn.XLOOKUP(
A5,
tblCustomers[Customer ID],
tblCustomers[Full Name]
),
"")</f>
        <v>Michael Obi</v>
      </c>
      <c r="C5" s="2">
        <f t="shared" ca="1" si="4"/>
        <v>46210</v>
      </c>
      <c r="D5" t="str">
        <f>tblTransactionType[[#This Row],[Transaction Type]]</f>
        <v>International Transfer</v>
      </c>
      <c r="E5">
        <f t="shared" ca="1" si="5"/>
        <v>4831.6000000000004</v>
      </c>
      <c r="F5" t="str">
        <f>IFERROR(
_xlfn.XLOOKUP(
A5,
tblCustomers[Customer ID],
tblCustomers[Country]
),
"")</f>
        <v>United Kingdom</v>
      </c>
      <c r="G5" t="str">
        <f>IFERROR(
_xlfn.XLOOKUP(
A5,
tblCustomers[Customer ID],
tblCustomers[Delivery Channel]
),
"")</f>
        <v>Branch</v>
      </c>
      <c r="H5">
        <f>IFERROR(
_xlfn.XLOOKUP(
A5,
tblCustomers[Customer ID],
tblCustomers[Annual Income (USD)]
),
0)</f>
        <v>48267</v>
      </c>
      <c r="I5">
        <f t="shared" ca="1" si="0"/>
        <v>1</v>
      </c>
      <c r="J5" t="str">
        <f t="shared" ca="1" si="1"/>
        <v>No</v>
      </c>
      <c r="K5" t="str">
        <f t="shared" ca="1" si="2"/>
        <v>No</v>
      </c>
      <c r="L5" t="str">
        <f>IF(
ISNUMBER(
MATCH(
G5,
tblHighRiskCountries[Country],
0)),
"Yes",
"No")</f>
        <v>No</v>
      </c>
      <c r="M5" t="str">
        <f t="shared" ca="1" si="3"/>
        <v>No</v>
      </c>
      <c r="N5" t="str">
        <f t="shared" ca="1" si="6"/>
        <v>Normal</v>
      </c>
      <c r="O5">
        <f t="shared" ca="1" si="7"/>
        <v>1</v>
      </c>
      <c r="P5" t="str">
        <f ca="1">IF(O5&gt;=4,"Yes","No")</f>
        <v>No</v>
      </c>
    </row>
    <row r="6" spans="1:16" x14ac:dyDescent="0.25">
      <c r="A6" t="str">
        <f>IF(_xlfn.XLOOKUP(DueDiligenceRegister[[#This Row],[Customer ID]], DueDiligenceRegister[Customer ID], DueDiligenceRegister[Account Status])="Open Account", DueDiligenceRegister[[#This Row],[Customer ID]], "Ineligible / Rejected")</f>
        <v>C0005</v>
      </c>
      <c r="B6" t="str">
        <f>IFERROR(
_xlfn.XLOOKUP(
A6,
tblCustomers[Customer ID],
tblCustomers[Full Name]
),
"")</f>
        <v>Mary Smith</v>
      </c>
      <c r="C6" s="2">
        <f t="shared" ca="1" si="4"/>
        <v>46067</v>
      </c>
      <c r="D6" t="str">
        <f>tblTransactionType[[#This Row],[Transaction Type]]</f>
        <v>POS Purchase</v>
      </c>
      <c r="E6">
        <f t="shared" ca="1" si="5"/>
        <v>311.10000000000002</v>
      </c>
      <c r="F6" t="str">
        <f>IFERROR(
_xlfn.XLOOKUP(
A6,
tblCustomers[Customer ID],
tblCustomers[Country]
),
"")</f>
        <v>UAE</v>
      </c>
      <c r="G6" t="str">
        <f>IFERROR(
_xlfn.XLOOKUP(
A6,
tblCustomers[Customer ID],
tblCustomers[Delivery Channel]
),
"")</f>
        <v>Online</v>
      </c>
      <c r="H6">
        <f>IFERROR(
_xlfn.XLOOKUP(
A6,
tblCustomers[Customer ID],
tblCustomers[Annual Income (USD)]
),
0)</f>
        <v>2210763</v>
      </c>
      <c r="I6">
        <f t="shared" ca="1" si="0"/>
        <v>0</v>
      </c>
      <c r="J6" t="str">
        <f t="shared" ca="1" si="1"/>
        <v>No</v>
      </c>
      <c r="K6" t="str">
        <f t="shared" ca="1" si="2"/>
        <v>No</v>
      </c>
      <c r="L6" t="str">
        <f>IF(
ISNUMBER(
MATCH(
G6,
tblHighRiskCountries[Country],
0)),
"Yes",
"No")</f>
        <v>No</v>
      </c>
      <c r="M6" t="str">
        <f t="shared" ca="1" si="3"/>
        <v>No</v>
      </c>
      <c r="N6" t="str">
        <f t="shared" ca="1" si="6"/>
        <v>Normal</v>
      </c>
      <c r="O6">
        <f t="shared" ca="1" si="7"/>
        <v>1</v>
      </c>
      <c r="P6" t="str">
        <f t="shared" ca="1" si="8"/>
        <v>No</v>
      </c>
    </row>
    <row r="7" spans="1:16" x14ac:dyDescent="0.25">
      <c r="A7" t="str">
        <f>IF(_xlfn.XLOOKUP(DueDiligenceRegister[[#This Row],[Customer ID]], DueDiligenceRegister[Customer ID], DueDiligenceRegister[Account Status])="Open Account", DueDiligenceRegister[[#This Row],[Customer ID]], "Ineligible / Rejected")</f>
        <v>C0006</v>
      </c>
      <c r="B7" t="str">
        <f>IFERROR(
_xlfn.XLOOKUP(
A7,
tblCustomers[Customer ID],
tblCustomers[Full Name]
),
"")</f>
        <v>Ruth Smith</v>
      </c>
      <c r="C7" s="2">
        <f t="shared" ca="1" si="4"/>
        <v>46105</v>
      </c>
      <c r="D7" t="str">
        <f>tblTransactionType[[#This Row],[Transaction Type]]</f>
        <v>ATM Withdrawal</v>
      </c>
      <c r="E7">
        <f t="shared" ca="1" si="5"/>
        <v>2258</v>
      </c>
      <c r="F7" t="str">
        <f>IFERROR(
_xlfn.XLOOKUP(
A7,
tblCustomers[Customer ID],
tblCustomers[Country]
),
"")</f>
        <v>United States</v>
      </c>
      <c r="G7" t="str">
        <f>IFERROR(
_xlfn.XLOOKUP(
A7,
tblCustomers[Customer ID],
tblCustomers[Delivery Channel]
),
"")</f>
        <v>Branch</v>
      </c>
      <c r="H7">
        <f>IFERROR(
_xlfn.XLOOKUP(
A7,
tblCustomers[Customer ID],
tblCustomers[Annual Income (USD)]
),
0)</f>
        <v>3389015</v>
      </c>
      <c r="I7">
        <f t="shared" ca="1" si="0"/>
        <v>0</v>
      </c>
      <c r="J7" t="str">
        <f t="shared" ca="1" si="1"/>
        <v>No</v>
      </c>
      <c r="K7" t="str">
        <f t="shared" ca="1" si="2"/>
        <v>No</v>
      </c>
      <c r="L7" t="str">
        <f>IF(
ISNUMBER(
MATCH(
G7,
tblHighRiskCountries[Country],
0)),
"Yes",
"No")</f>
        <v>No</v>
      </c>
      <c r="M7" t="str">
        <f t="shared" ca="1" si="3"/>
        <v>No</v>
      </c>
      <c r="N7" t="str">
        <f t="shared" ca="1" si="6"/>
        <v>Normal</v>
      </c>
      <c r="O7">
        <f t="shared" ca="1" si="7"/>
        <v>1</v>
      </c>
      <c r="P7" t="str">
        <f t="shared" ca="1" si="8"/>
        <v>No</v>
      </c>
    </row>
    <row r="8" spans="1:16" x14ac:dyDescent="0.25">
      <c r="A8" t="str">
        <f>IF(_xlfn.XLOOKUP(DueDiligenceRegister[[#This Row],[Customer ID]], DueDiligenceRegister[Customer ID], DueDiligenceRegister[Account Status])="Open Account", DueDiligenceRegister[[#This Row],[Customer ID]], "Ineligible / Rejected")</f>
        <v>C0007</v>
      </c>
      <c r="B8" t="str">
        <f>IFERROR(
_xlfn.XLOOKUP(
A8,
tblCustomers[Customer ID],
tblCustomers[Full Name]
),
"")</f>
        <v>Esther Musa</v>
      </c>
      <c r="C8" s="2">
        <f t="shared" ca="1" si="4"/>
        <v>46212</v>
      </c>
      <c r="D8" t="str">
        <f>tblTransactionType[[#This Row],[Transaction Type]]</f>
        <v>Mobile Transfer</v>
      </c>
      <c r="E8">
        <f t="shared" ca="1" si="5"/>
        <v>5250.19</v>
      </c>
      <c r="F8" t="str">
        <f>IFERROR(
_xlfn.XLOOKUP(
A8,
tblCustomers[Customer ID],
tblCustomers[Country]
),
"")</f>
        <v>UAE</v>
      </c>
      <c r="G8" t="str">
        <f>IFERROR(
_xlfn.XLOOKUP(
A8,
tblCustomers[Customer ID],
tblCustomers[Delivery Channel]
),
"")</f>
        <v>Mobile App</v>
      </c>
      <c r="H8">
        <f>IFERROR(
_xlfn.XLOOKUP(
A8,
tblCustomers[Customer ID],
tblCustomers[Annual Income (USD)]
),
0)</f>
        <v>3895082</v>
      </c>
      <c r="I8">
        <f t="shared" ca="1" si="0"/>
        <v>1</v>
      </c>
      <c r="J8" t="str">
        <f t="shared" ca="1" si="1"/>
        <v>No</v>
      </c>
      <c r="K8" t="str">
        <f t="shared" ca="1" si="2"/>
        <v>No</v>
      </c>
      <c r="L8" t="str">
        <f>IF(
ISNUMBER(
MATCH(
G8,
tblHighRiskCountries[Country],
0)),
"Yes",
"No")</f>
        <v>No</v>
      </c>
      <c r="M8" t="str">
        <f t="shared" ca="1" si="3"/>
        <v>No</v>
      </c>
      <c r="N8" t="str">
        <f ca="1">_xlfn.IFS(J8="Yes","Alert",K8="Yes","Alert",L8="Yes","Alert",M8="Yes","Alert",TRUE,"Normal")</f>
        <v>Normal</v>
      </c>
      <c r="O8">
        <f t="shared" ca="1" si="7"/>
        <v>1</v>
      </c>
      <c r="P8" t="str">
        <f t="shared" ca="1" si="8"/>
        <v>No</v>
      </c>
    </row>
    <row r="9" spans="1:16" x14ac:dyDescent="0.25">
      <c r="A9" t="str">
        <f>IF(_xlfn.XLOOKUP(DueDiligenceRegister[[#This Row],[Customer ID]], DueDiligenceRegister[Customer ID], DueDiligenceRegister[Account Status])="Open Account", DueDiligenceRegister[[#This Row],[Customer ID]], "Ineligible / Rejected")</f>
        <v>C0008</v>
      </c>
      <c r="B9" t="str">
        <f>IFERROR(
_xlfn.XLOOKUP(
A9,
tblCustomers[Customer ID],
tblCustomers[Full Name]
),
"")</f>
        <v>James Nwosu</v>
      </c>
      <c r="C9" s="2">
        <f t="shared" ca="1" si="4"/>
        <v>46157</v>
      </c>
      <c r="D9" t="str">
        <f>tblTransactionType[[#This Row],[Transaction Type]]</f>
        <v>Online Transfer</v>
      </c>
      <c r="E9">
        <f t="shared" ca="1" si="5"/>
        <v>12327.52</v>
      </c>
      <c r="F9" t="str">
        <f>IFERROR(
_xlfn.XLOOKUP(
A9,
tblCustomers[Customer ID],
tblCustomers[Country]
),
"")</f>
        <v>United States</v>
      </c>
      <c r="G9" t="str">
        <f>IFERROR(
_xlfn.XLOOKUP(
A9,
tblCustomers[Customer ID],
tblCustomers[Delivery Channel]
),
"")</f>
        <v>Mobile App</v>
      </c>
      <c r="H9">
        <f>IFERROR(
_xlfn.XLOOKUP(
A9,
tblCustomers[Customer ID],
tblCustomers[Annual Income (USD)]
),
0)</f>
        <v>3970570</v>
      </c>
      <c r="I9">
        <f t="shared" ca="1" si="0"/>
        <v>0</v>
      </c>
      <c r="J9" t="str">
        <f t="shared" ca="1" si="1"/>
        <v>No</v>
      </c>
      <c r="K9" t="str">
        <f t="shared" ca="1" si="2"/>
        <v>No</v>
      </c>
      <c r="L9" t="str">
        <f>IF(
ISNUMBER(
MATCH(
G9,
tblHighRiskCountries[Country],
0)),
"Yes",
"No")</f>
        <v>No</v>
      </c>
      <c r="M9" t="str">
        <f t="shared" ca="1" si="3"/>
        <v>No</v>
      </c>
      <c r="N9" t="str">
        <f t="shared" ca="1" si="6"/>
        <v>Normal</v>
      </c>
      <c r="O9">
        <f t="shared" ca="1" si="7"/>
        <v>1</v>
      </c>
      <c r="P9" t="str">
        <f t="shared" ca="1" si="8"/>
        <v>No</v>
      </c>
    </row>
    <row r="10" spans="1:16" x14ac:dyDescent="0.25">
      <c r="A10" t="str">
        <f>IF(_xlfn.XLOOKUP(DueDiligenceRegister[[#This Row],[Customer ID]], DueDiligenceRegister[Customer ID], DueDiligenceRegister[Account Status])="Open Account", DueDiligenceRegister[[#This Row],[Customer ID]], "Ineligible / Rejected")</f>
        <v>C0009</v>
      </c>
      <c r="B10" t="str">
        <f>IFERROR(
_xlfn.XLOOKUP(
A10,
tblCustomers[Customer ID],
tblCustomers[Full Name]
),
"")</f>
        <v>Chioma Adeyemi</v>
      </c>
      <c r="C10" s="2">
        <f t="shared" ca="1" si="4"/>
        <v>46123</v>
      </c>
      <c r="D10" t="str">
        <f>tblTransactionType[[#This Row],[Transaction Type]]</f>
        <v>Salary Credit</v>
      </c>
      <c r="E10">
        <f t="shared" ca="1" si="5"/>
        <v>8163.31</v>
      </c>
      <c r="F10" t="str">
        <f>IFERROR(
_xlfn.XLOOKUP(
A10,
tblCustomers[Customer ID],
tblCustomers[Country]
),
"")</f>
        <v>United States</v>
      </c>
      <c r="G10" t="str">
        <f>IFERROR(
_xlfn.XLOOKUP(
A10,
tblCustomers[Customer ID],
tblCustomers[Delivery Channel]
),
"")</f>
        <v>Relationship Manager</v>
      </c>
      <c r="H10">
        <f>IFERROR(
_xlfn.XLOOKUP(
A10,
tblCustomers[Customer ID],
tblCustomers[Annual Income (USD)]
),
0)</f>
        <v>1070802</v>
      </c>
      <c r="I10">
        <f t="shared" ca="1" si="0"/>
        <v>0</v>
      </c>
      <c r="J10" t="str">
        <f t="shared" ca="1" si="1"/>
        <v>No</v>
      </c>
      <c r="K10" t="str">
        <f t="shared" ca="1" si="2"/>
        <v>No</v>
      </c>
      <c r="L10" t="str">
        <f>IF(
ISNUMBER(
MATCH(
G10,
tblHighRiskCountries[Country],
0)),
"Yes",
"No")</f>
        <v>No</v>
      </c>
      <c r="M10" t="str">
        <f t="shared" ca="1" si="3"/>
        <v>No</v>
      </c>
      <c r="N10" t="str">
        <f t="shared" ca="1" si="6"/>
        <v>Normal</v>
      </c>
      <c r="O10">
        <f t="shared" ca="1" si="7"/>
        <v>1</v>
      </c>
      <c r="P10" t="str">
        <f t="shared" ca="1" si="8"/>
        <v>No</v>
      </c>
    </row>
    <row r="11" spans="1:16" x14ac:dyDescent="0.25">
      <c r="A11" t="str">
        <f>IF(_xlfn.XLOOKUP(DueDiligenceRegister[[#This Row],[Customer ID]], DueDiligenceRegister[Customer ID], DueDiligenceRegister[Account Status])="Open Account", DueDiligenceRegister[[#This Row],[Customer ID]], "Ineligible / Rejected")</f>
        <v>C0010</v>
      </c>
      <c r="B11" t="str">
        <f>IFERROR(
_xlfn.XLOOKUP(
A11,
tblCustomers[Customer ID],
tblCustomers[Full Name]
),
"")</f>
        <v>Zainab Williams</v>
      </c>
      <c r="C11" s="2">
        <f t="shared" ca="1" si="4"/>
        <v>46209</v>
      </c>
      <c r="D11" t="str">
        <f>tblTransactionType[[#This Row],[Transaction Type]]</f>
        <v>Bill Payment</v>
      </c>
      <c r="E11">
        <f t="shared" ca="1" si="5"/>
        <v>13522.33</v>
      </c>
      <c r="F11" t="str">
        <f>IFERROR(
_xlfn.XLOOKUP(
A11,
tblCustomers[Customer ID],
tblCustomers[Country]
),
"")</f>
        <v>Canada</v>
      </c>
      <c r="G11" t="str">
        <f>IFERROR(
_xlfn.XLOOKUP(
A11,
tblCustomers[Customer ID],
tblCustomers[Delivery Channel]
),
"")</f>
        <v>Mobile App</v>
      </c>
      <c r="H11">
        <f>IFERROR(
_xlfn.XLOOKUP(
A11,
tblCustomers[Customer ID],
tblCustomers[Annual Income (USD)]
),
0)</f>
        <v>3125353</v>
      </c>
      <c r="I11">
        <f t="shared" ca="1" si="0"/>
        <v>1</v>
      </c>
      <c r="J11" t="str">
        <f t="shared" ca="1" si="1"/>
        <v>No</v>
      </c>
      <c r="K11" t="str">
        <f t="shared" ca="1" si="2"/>
        <v>No</v>
      </c>
      <c r="L11" t="str">
        <f>IF(
ISNUMBER(
MATCH(
G11,
tblHighRiskCountries[Country],
0)),
"Yes",
"No")</f>
        <v>No</v>
      </c>
      <c r="M11" t="str">
        <f t="shared" ca="1" si="3"/>
        <v>No</v>
      </c>
      <c r="N11" t="str">
        <f t="shared" ca="1" si="6"/>
        <v>Normal</v>
      </c>
      <c r="O11">
        <f t="shared" ca="1" si="7"/>
        <v>1</v>
      </c>
      <c r="P11" t="str">
        <f t="shared" ca="1" si="8"/>
        <v>No</v>
      </c>
    </row>
    <row r="12" spans="1:16" x14ac:dyDescent="0.25">
      <c r="A12" t="str">
        <f>IF(_xlfn.XLOOKUP(DueDiligenceRegister[[#This Row],[Customer ID]], DueDiligenceRegister[Customer ID], DueDiligenceRegister[Account Status])="Open Account", DueDiligenceRegister[[#This Row],[Customer ID]], "Ineligible / Rejected")</f>
        <v>C0011</v>
      </c>
      <c r="B12" t="str">
        <f>IFERROR(
_xlfn.XLOOKUP(
A12,
tblCustomers[Customer ID],
tblCustomers[Full Name]
),
"")</f>
        <v>Zainab Garba</v>
      </c>
      <c r="C12" s="2">
        <f t="shared" ca="1" si="4"/>
        <v>46138</v>
      </c>
      <c r="D12" t="s">
        <v>466</v>
      </c>
      <c r="E12">
        <f t="shared" ca="1" si="5"/>
        <v>13307.9</v>
      </c>
      <c r="F12" t="str">
        <f>IFERROR(
_xlfn.XLOOKUP(
A12,
tblCustomers[Customer ID],
tblCustomers[Country]
),
"")</f>
        <v>Kenya</v>
      </c>
      <c r="G12" t="str">
        <f>IFERROR(
_xlfn.XLOOKUP(
A12,
tblCustomers[Customer ID],
tblCustomers[Delivery Channel]
),
"")</f>
        <v>Mobile App</v>
      </c>
      <c r="H12">
        <f>IFERROR(
_xlfn.XLOOKUP(
A12,
tblCustomers[Customer ID],
tblCustomers[Annual Income (USD)]
),
0)</f>
        <v>2244240</v>
      </c>
      <c r="I12">
        <f t="shared" ca="1" si="0"/>
        <v>0</v>
      </c>
      <c r="J12" t="str">
        <f t="shared" ca="1" si="1"/>
        <v>No</v>
      </c>
      <c r="K12" t="str">
        <f t="shared" ca="1" si="2"/>
        <v>No</v>
      </c>
      <c r="L12" t="str">
        <f>IF(
ISNUMBER(
MATCH(
G12,
tblHighRiskCountries[Country],
0)),
"Yes",
"No")</f>
        <v>No</v>
      </c>
      <c r="M12" t="str">
        <f t="shared" ca="1" si="3"/>
        <v>No</v>
      </c>
      <c r="N12" t="str">
        <f ca="1">_xlfn.IFS(J12="Yes","Alert",K12="Yes","Alert",L12="Yes","Alert",M12="Yes","Alert",TRUE,"Normal")</f>
        <v>Normal</v>
      </c>
      <c r="O12">
        <f t="shared" ca="1" si="7"/>
        <v>1</v>
      </c>
      <c r="P12" t="str">
        <f t="shared" ca="1" si="8"/>
        <v>No</v>
      </c>
    </row>
    <row r="13" spans="1:16" x14ac:dyDescent="0.25">
      <c r="A13" t="str">
        <f>IF(_xlfn.XLOOKUP(DueDiligenceRegister[[#This Row],[Customer ID]], DueDiligenceRegister[Customer ID], DueDiligenceRegister[Account Status])="Open Account", DueDiligenceRegister[[#This Row],[Customer ID]], "Ineligible / Rejected")</f>
        <v>C0012</v>
      </c>
      <c r="B13" t="str">
        <f>IFERROR(
_xlfn.XLOOKUP(
A13,
tblCustomers[Customer ID],
tblCustomers[Full Name]
),
"")</f>
        <v>Ahmed Ali</v>
      </c>
      <c r="C13" s="2">
        <f t="shared" ca="1" si="4"/>
        <v>46101</v>
      </c>
      <c r="D13" t="s">
        <v>466</v>
      </c>
      <c r="E13">
        <f t="shared" ca="1" si="5"/>
        <v>6900.44</v>
      </c>
      <c r="F13" t="str">
        <f>IFERROR(
_xlfn.XLOOKUP(
A13,
tblCustomers[Customer ID],
tblCustomers[Country]
),
"")</f>
        <v>Ghana</v>
      </c>
      <c r="G13" t="str">
        <f>IFERROR(
_xlfn.XLOOKUP(
A13,
tblCustomers[Customer ID],
tblCustomers[Delivery Channel]
),
"")</f>
        <v>Online</v>
      </c>
      <c r="H13">
        <f>IFERROR(
_xlfn.XLOOKUP(
A13,
tblCustomers[Customer ID],
tblCustomers[Annual Income (USD)]
),
0)</f>
        <v>51603</v>
      </c>
      <c r="I13">
        <f t="shared" ca="1" si="0"/>
        <v>0</v>
      </c>
      <c r="J13" t="str">
        <f t="shared" ca="1" si="1"/>
        <v>No</v>
      </c>
      <c r="K13" t="str">
        <f t="shared" ca="1" si="2"/>
        <v>No</v>
      </c>
      <c r="L13" t="str">
        <f>IF(
ISNUMBER(
MATCH(
G13,
tblHighRiskCountries[Country],
0)),
"Yes",
"No")</f>
        <v>No</v>
      </c>
      <c r="M13" t="str">
        <f t="shared" ca="1" si="3"/>
        <v>No</v>
      </c>
      <c r="N13" t="str">
        <f ca="1">_xlfn.IFS(J13="Yes","Alert",K13="Yes","Alert",L13="Yes","Alert",M13="Yes","Alert",TRUE,"Normal")</f>
        <v>Normal</v>
      </c>
      <c r="O13">
        <f t="shared" ca="1" si="7"/>
        <v>1</v>
      </c>
      <c r="P13" t="str">
        <f t="shared" ca="1" si="8"/>
        <v>No</v>
      </c>
    </row>
    <row r="14" spans="1:16" x14ac:dyDescent="0.25">
      <c r="A14" t="str">
        <f>IF(_xlfn.XLOOKUP(DueDiligenceRegister[[#This Row],[Customer ID]], DueDiligenceRegister[Customer ID], DueDiligenceRegister[Account Status])="Open Account", DueDiligenceRegister[[#This Row],[Customer ID]], "Ineligible / Rejected")</f>
        <v>C0013</v>
      </c>
      <c r="B14" t="str">
        <f>IFERROR(
_xlfn.XLOOKUP(
A14,
tblCustomers[Customer ID],
tblCustomers[Full Name]
),
"")</f>
        <v>Michael Suleiman</v>
      </c>
      <c r="C14" s="2">
        <f t="shared" ca="1" si="4"/>
        <v>46191</v>
      </c>
      <c r="D14" t="s">
        <v>466</v>
      </c>
      <c r="E14">
        <f t="shared" ca="1" si="5"/>
        <v>4555.76</v>
      </c>
      <c r="F14" t="str">
        <f>IFERROR(
_xlfn.XLOOKUP(
A14,
tblCustomers[Customer ID],
tblCustomers[Country]
),
"")</f>
        <v>UAE</v>
      </c>
      <c r="G14" t="str">
        <f>IFERROR(
_xlfn.XLOOKUP(
A14,
tblCustomers[Customer ID],
tblCustomers[Delivery Channel]
),
"")</f>
        <v>Branch</v>
      </c>
      <c r="H14">
        <f>IFERROR(
_xlfn.XLOOKUP(
A14,
tblCustomers[Customer ID],
tblCustomers[Annual Income (USD)]
),
0)</f>
        <v>2611547</v>
      </c>
      <c r="I14">
        <f t="shared" ca="1" si="0"/>
        <v>0</v>
      </c>
      <c r="J14" t="str">
        <f t="shared" ca="1" si="1"/>
        <v>No</v>
      </c>
      <c r="K14" t="str">
        <f t="shared" ca="1" si="2"/>
        <v>No</v>
      </c>
      <c r="L14" t="str">
        <f>IF(
ISNUMBER(
MATCH(
G14,
tblHighRiskCountries[Country],
0)),
"Yes",
"No")</f>
        <v>No</v>
      </c>
      <c r="M14" t="str">
        <f t="shared" ca="1" si="3"/>
        <v>No</v>
      </c>
      <c r="N14" t="str">
        <f t="shared" ca="1" si="6"/>
        <v>Normal</v>
      </c>
      <c r="O14">
        <f t="shared" ca="1" si="7"/>
        <v>1</v>
      </c>
      <c r="P14" t="str">
        <f t="shared" ca="1" si="8"/>
        <v>No</v>
      </c>
    </row>
    <row r="15" spans="1:16" x14ac:dyDescent="0.25">
      <c r="A15" t="str">
        <f>IF(_xlfn.XLOOKUP(DueDiligenceRegister[[#This Row],[Customer ID]], DueDiligenceRegister[Customer ID], DueDiligenceRegister[Account Status])="Open Account", DueDiligenceRegister[[#This Row],[Customer ID]], "Ineligible / Rejected")</f>
        <v>C0014</v>
      </c>
      <c r="B15" t="str">
        <f>IFERROR(
_xlfn.XLOOKUP(
A15,
tblCustomers[Customer ID],
tblCustomers[Full Name]
),
"")</f>
        <v>David Williams</v>
      </c>
      <c r="C15" s="2">
        <f t="shared" ca="1" si="4"/>
        <v>46060</v>
      </c>
      <c r="D15" t="s">
        <v>466</v>
      </c>
      <c r="E15">
        <f t="shared" ca="1" si="5"/>
        <v>7405.45</v>
      </c>
      <c r="F15" t="str">
        <f>IFERROR(
_xlfn.XLOOKUP(
A15,
tblCustomers[Customer ID],
tblCustomers[Country]
),
"")</f>
        <v>Kenya</v>
      </c>
      <c r="G15" t="str">
        <f>IFERROR(
_xlfn.XLOOKUP(
A15,
tblCustomers[Customer ID],
tblCustomers[Delivery Channel]
),
"")</f>
        <v>Branch</v>
      </c>
      <c r="H15">
        <f>IFERROR(
_xlfn.XLOOKUP(
A15,
tblCustomers[Customer ID],
tblCustomers[Annual Income (USD)]
),
0)</f>
        <v>1438136</v>
      </c>
      <c r="I15">
        <f t="shared" ca="1" si="0"/>
        <v>0</v>
      </c>
      <c r="J15" t="str">
        <f t="shared" ca="1" si="1"/>
        <v>No</v>
      </c>
      <c r="K15" t="str">
        <f t="shared" ca="1" si="2"/>
        <v>No</v>
      </c>
      <c r="L15" t="str">
        <f>IF(
ISNUMBER(
MATCH(
G15,
tblHighRiskCountries[Country],
0)),
"Yes",
"No")</f>
        <v>No</v>
      </c>
      <c r="M15" t="str">
        <f t="shared" ca="1" si="3"/>
        <v>No</v>
      </c>
      <c r="N15" t="str">
        <f t="shared" ca="1" si="6"/>
        <v>Normal</v>
      </c>
      <c r="O15">
        <f t="shared" ca="1" si="7"/>
        <v>1</v>
      </c>
      <c r="P15" t="str">
        <f t="shared" ca="1" si="8"/>
        <v>No</v>
      </c>
    </row>
    <row r="16" spans="1:16" x14ac:dyDescent="0.25">
      <c r="A16" t="str">
        <f>IF(_xlfn.XLOOKUP(DueDiligenceRegister[[#This Row],[Customer ID]], DueDiligenceRegister[Customer ID], DueDiligenceRegister[Account Status])="Open Account", DueDiligenceRegister[[#This Row],[Customer ID]], "Ineligible / Rejected")</f>
        <v>C0015</v>
      </c>
      <c r="B16" t="str">
        <f>IFERROR(
_xlfn.XLOOKUP(
A16,
tblCustomers[Customer ID],
tblCustomers[Full Name]
),
"")</f>
        <v>Fatima Ali</v>
      </c>
      <c r="C16" s="2">
        <f t="shared" ca="1" si="4"/>
        <v>46153</v>
      </c>
      <c r="D16" t="s">
        <v>466</v>
      </c>
      <c r="E16">
        <f t="shared" ca="1" si="5"/>
        <v>8059.15</v>
      </c>
      <c r="F16" t="str">
        <f>IFERROR(
_xlfn.XLOOKUP(
A16,
tblCustomers[Customer ID],
tblCustomers[Country]
),
"")</f>
        <v>South Africa</v>
      </c>
      <c r="G16" t="str">
        <f>IFERROR(
_xlfn.XLOOKUP(
A16,
tblCustomers[Customer ID],
tblCustomers[Delivery Channel]
),
"")</f>
        <v>Online</v>
      </c>
      <c r="H16">
        <f>IFERROR(
_xlfn.XLOOKUP(
A16,
tblCustomers[Customer ID],
tblCustomers[Annual Income (USD)]
),
0)</f>
        <v>2797953</v>
      </c>
      <c r="I16">
        <f t="shared" ca="1" si="0"/>
        <v>0</v>
      </c>
      <c r="J16" t="str">
        <f t="shared" ca="1" si="1"/>
        <v>No</v>
      </c>
      <c r="K16" t="str">
        <f t="shared" ca="1" si="2"/>
        <v>No</v>
      </c>
      <c r="L16" t="str">
        <f>IF(
ISNUMBER(
MATCH(
G16,
tblHighRiskCountries[Country],
0)),
"Yes",
"No")</f>
        <v>No</v>
      </c>
      <c r="M16" t="str">
        <f t="shared" ca="1" si="3"/>
        <v>No</v>
      </c>
      <c r="N16" t="str">
        <f t="shared" ca="1" si="6"/>
        <v>Normal</v>
      </c>
      <c r="O16">
        <f t="shared" ca="1" si="7"/>
        <v>1</v>
      </c>
      <c r="P16" t="str">
        <f t="shared" ca="1" si="8"/>
        <v>No</v>
      </c>
    </row>
    <row r="17" spans="1:16" x14ac:dyDescent="0.25">
      <c r="A17" t="str">
        <f>IF(_xlfn.XLOOKUP(DueDiligenceRegister[[#This Row],[Customer ID]], DueDiligenceRegister[Customer ID], DueDiligenceRegister[Account Status])="Open Account", DueDiligenceRegister[[#This Row],[Customer ID]], "Ineligible / Rejected")</f>
        <v>C0016</v>
      </c>
      <c r="B17" t="str">
        <f>IFERROR(
_xlfn.XLOOKUP(
A17,
tblCustomers[Customer ID],
tblCustomers[Full Name]
),
"")</f>
        <v>Peter Bello</v>
      </c>
      <c r="C17" s="2">
        <f t="shared" ca="1" si="4"/>
        <v>46075</v>
      </c>
      <c r="D17" t="s">
        <v>466</v>
      </c>
      <c r="E17">
        <f t="shared" ca="1" si="5"/>
        <v>8797.08</v>
      </c>
      <c r="F17" t="str">
        <f>IFERROR(
_xlfn.XLOOKUP(
A17,
tblCustomers[Customer ID],
tblCustomers[Country]
),
"")</f>
        <v>Ghana</v>
      </c>
      <c r="G17" t="str">
        <f>IFERROR(
_xlfn.XLOOKUP(
A17,
tblCustomers[Customer ID],
tblCustomers[Delivery Channel]
),
"")</f>
        <v>Relationship Manager</v>
      </c>
      <c r="H17">
        <f>IFERROR(
_xlfn.XLOOKUP(
A17,
tblCustomers[Customer ID],
tblCustomers[Annual Income (USD)]
),
0)</f>
        <v>4424156</v>
      </c>
      <c r="I17">
        <f t="shared" ca="1" si="0"/>
        <v>0</v>
      </c>
      <c r="J17" t="str">
        <f t="shared" ca="1" si="1"/>
        <v>No</v>
      </c>
      <c r="K17" t="str">
        <f t="shared" ca="1" si="2"/>
        <v>No</v>
      </c>
      <c r="L17" t="str">
        <f>IF(
ISNUMBER(
MATCH(
G17,
tblHighRiskCountries[Country],
0)),
"Yes",
"No")</f>
        <v>No</v>
      </c>
      <c r="M17" t="str">
        <f t="shared" ca="1" si="3"/>
        <v>No</v>
      </c>
      <c r="N17" t="str">
        <f t="shared" ca="1" si="6"/>
        <v>Normal</v>
      </c>
      <c r="O17">
        <f t="shared" ca="1" si="7"/>
        <v>1</v>
      </c>
      <c r="P17" t="str">
        <f t="shared" ca="1" si="8"/>
        <v>No</v>
      </c>
    </row>
    <row r="18" spans="1:16" x14ac:dyDescent="0.25">
      <c r="A18" t="str">
        <f>IF(_xlfn.XLOOKUP(DueDiligenceRegister[[#This Row],[Customer ID]], DueDiligenceRegister[Customer ID], DueDiligenceRegister[Account Status])="Open Account", DueDiligenceRegister[[#This Row],[Customer ID]], "Ineligible / Rejected")</f>
        <v>C0017</v>
      </c>
      <c r="B18" t="str">
        <f>IFERROR(
_xlfn.XLOOKUP(
A18,
tblCustomers[Customer ID],
tblCustomers[Full Name]
),
"")</f>
        <v>Emeka Bello</v>
      </c>
      <c r="C18" s="2">
        <f t="shared" ca="1" si="4"/>
        <v>46091</v>
      </c>
      <c r="D18" t="s">
        <v>466</v>
      </c>
      <c r="E18">
        <f t="shared" ca="1" si="5"/>
        <v>2748.77</v>
      </c>
      <c r="F18" t="str">
        <f>IFERROR(
_xlfn.XLOOKUP(
A18,
tblCustomers[Customer ID],
tblCustomers[Country]
),
"")</f>
        <v>United States</v>
      </c>
      <c r="G18" t="str">
        <f>IFERROR(
_xlfn.XLOOKUP(
A18,
tblCustomers[Customer ID],
tblCustomers[Delivery Channel]
),
"")</f>
        <v>Online</v>
      </c>
      <c r="H18">
        <f>IFERROR(
_xlfn.XLOOKUP(
A18,
tblCustomers[Customer ID],
tblCustomers[Annual Income (USD)]
),
0)</f>
        <v>1577720</v>
      </c>
      <c r="I18">
        <f t="shared" ca="1" si="0"/>
        <v>0</v>
      </c>
      <c r="J18" t="str">
        <f t="shared" ca="1" si="1"/>
        <v>No</v>
      </c>
      <c r="K18" t="str">
        <f t="shared" ca="1" si="2"/>
        <v>No</v>
      </c>
      <c r="L18" t="str">
        <f>IF(
ISNUMBER(
MATCH(
G18,
tblHighRiskCountries[Country],
0)),
"Yes",
"No")</f>
        <v>No</v>
      </c>
      <c r="M18" t="str">
        <f t="shared" ca="1" si="3"/>
        <v>No</v>
      </c>
      <c r="N18" t="str">
        <f t="shared" ca="1" si="6"/>
        <v>Normal</v>
      </c>
      <c r="O18">
        <f t="shared" ca="1" si="7"/>
        <v>1</v>
      </c>
      <c r="P18" t="str">
        <f t="shared" ca="1" si="8"/>
        <v>No</v>
      </c>
    </row>
    <row r="19" spans="1:16" hidden="1" x14ac:dyDescent="0.25">
      <c r="A19" t="str">
        <f>IF(_xlfn.XLOOKUP(DueDiligenceRegister[[#This Row],[Customer ID]], DueDiligenceRegister[Customer ID], DueDiligenceRegister[Account Status])="Open Account", DueDiligenceRegister[[#This Row],[Customer ID]], "Ineligible / Rejected")</f>
        <v>Ineligible / Rejected</v>
      </c>
      <c r="B19" t="str">
        <f>IFERROR(
_xlfn.XLOOKUP(
A19,
tblCustomers[Customer ID],
tblCustomers[Full Name]
),
"")</f>
        <v/>
      </c>
      <c r="C19" s="2">
        <f t="shared" ca="1" si="4"/>
        <v>46230</v>
      </c>
      <c r="D19" t="s">
        <v>466</v>
      </c>
      <c r="E19">
        <f t="shared" ca="1" si="5"/>
        <v>13243.87</v>
      </c>
      <c r="F19" t="str">
        <f>IFERROR(
_xlfn.XLOOKUP(
A19,
tblCustomers[Customer ID],
tblCustomers[Country]
),
"")</f>
        <v/>
      </c>
      <c r="G19" t="str">
        <f>IFERROR(
_xlfn.XLOOKUP(
A19,
tblCustomers[Customer ID],
tblCustomers[Delivery Channel]
),
"")</f>
        <v/>
      </c>
      <c r="H19">
        <f>IFERROR(
_xlfn.XLOOKUP(
A19,
tblCustomers[Customer ID],
tblCustomers[Annual Income (USD)]
),
0)</f>
        <v>0</v>
      </c>
      <c r="I19">
        <f t="shared" ca="1" si="0"/>
        <v>6</v>
      </c>
      <c r="J19" t="str">
        <f t="shared" ca="1" si="1"/>
        <v>Yes</v>
      </c>
      <c r="K19" t="str">
        <f t="shared" ca="1" si="2"/>
        <v>No</v>
      </c>
      <c r="L19" t="str">
        <f>IF(
ISNUMBER(
MATCH(
G19,
tblHighRiskCountries[Country],
0)),
"Yes",
"No")</f>
        <v>No</v>
      </c>
      <c r="M19" t="str">
        <f t="shared" ca="1" si="3"/>
        <v>No</v>
      </c>
      <c r="N19" t="str">
        <f t="shared" ca="1" si="6"/>
        <v>Alert</v>
      </c>
      <c r="O19">
        <f t="shared" ca="1" si="7"/>
        <v>2</v>
      </c>
      <c r="P19" t="str">
        <f t="shared" ca="1" si="8"/>
        <v>No</v>
      </c>
    </row>
    <row r="20" spans="1:16" x14ac:dyDescent="0.25">
      <c r="A20" t="str">
        <f>IF(_xlfn.XLOOKUP(DueDiligenceRegister[[#This Row],[Customer ID]], DueDiligenceRegister[Customer ID], DueDiligenceRegister[Account Status])="Open Account", DueDiligenceRegister[[#This Row],[Customer ID]], "Ineligible / Rejected")</f>
        <v>C0019</v>
      </c>
      <c r="B20" t="str">
        <f>IFERROR(
_xlfn.XLOOKUP(
A20,
tblCustomers[Customer ID],
tblCustomers[Full Name]
),
"")</f>
        <v>Zainab Adeyemi</v>
      </c>
      <c r="C20" s="2">
        <f t="shared" ca="1" si="4"/>
        <v>46195</v>
      </c>
      <c r="D20" t="s">
        <v>466</v>
      </c>
      <c r="E20">
        <f t="shared" ca="1" si="5"/>
        <v>13355.9</v>
      </c>
      <c r="F20" t="str">
        <f>IFERROR(
_xlfn.XLOOKUP(
A20,
tblCustomers[Customer ID],
tblCustomers[Country]
),
"")</f>
        <v>United Kingdom</v>
      </c>
      <c r="G20" t="str">
        <f>IFERROR(
_xlfn.XLOOKUP(
A20,
tblCustomers[Customer ID],
tblCustomers[Delivery Channel]
),
"")</f>
        <v>Online</v>
      </c>
      <c r="H20">
        <f>IFERROR(
_xlfn.XLOOKUP(
A20,
tblCustomers[Customer ID],
tblCustomers[Annual Income (USD)]
),
0)</f>
        <v>1238557</v>
      </c>
      <c r="I20">
        <f t="shared" ca="1" si="0"/>
        <v>0</v>
      </c>
      <c r="J20" t="str">
        <f t="shared" ca="1" si="1"/>
        <v>No</v>
      </c>
      <c r="K20" t="str">
        <f t="shared" ca="1" si="2"/>
        <v>No</v>
      </c>
      <c r="L20" t="str">
        <f>IF(
ISNUMBER(
MATCH(
G20,
tblHighRiskCountries[Country],
0)),
"Yes",
"No")</f>
        <v>No</v>
      </c>
      <c r="M20" t="str">
        <f t="shared" ca="1" si="3"/>
        <v>No</v>
      </c>
      <c r="N20" t="str">
        <f t="shared" ca="1" si="6"/>
        <v>Normal</v>
      </c>
      <c r="O20">
        <f t="shared" ca="1" si="7"/>
        <v>1</v>
      </c>
      <c r="P20" t="str">
        <f t="shared" ca="1" si="8"/>
        <v>No</v>
      </c>
    </row>
    <row r="21" spans="1:16" x14ac:dyDescent="0.25">
      <c r="A21" t="str">
        <f>IF(_xlfn.XLOOKUP(DueDiligenceRegister[[#This Row],[Customer ID]], DueDiligenceRegister[Customer ID], DueDiligenceRegister[Account Status])="Open Account", DueDiligenceRegister[[#This Row],[Customer ID]], "Ineligible / Rejected")</f>
        <v>C0020</v>
      </c>
      <c r="B21" t="str">
        <f>IFERROR(
_xlfn.XLOOKUP(
A21,
tblCustomers[Customer ID],
tblCustomers[Full Name]
),
"")</f>
        <v>Amina Mensah</v>
      </c>
      <c r="C21" s="2">
        <f t="shared" ca="1" si="4"/>
        <v>46138</v>
      </c>
      <c r="D21" t="s">
        <v>466</v>
      </c>
      <c r="E21">
        <f t="shared" ca="1" si="5"/>
        <v>11714.96</v>
      </c>
      <c r="F21" t="str">
        <f>IFERROR(
_xlfn.XLOOKUP(
A21,
tblCustomers[Customer ID],
tblCustomers[Country]
),
"")</f>
        <v>Ghana</v>
      </c>
      <c r="G21" t="str">
        <f>IFERROR(
_xlfn.XLOOKUP(
A21,
tblCustomers[Customer ID],
tblCustomers[Delivery Channel]
),
"")</f>
        <v>Online</v>
      </c>
      <c r="H21">
        <f>IFERROR(
_xlfn.XLOOKUP(
A21,
tblCustomers[Customer ID],
tblCustomers[Annual Income (USD)]
),
0)</f>
        <v>3739704</v>
      </c>
      <c r="I21">
        <f t="shared" ca="1" si="0"/>
        <v>0</v>
      </c>
      <c r="J21" t="str">
        <f t="shared" ca="1" si="1"/>
        <v>No</v>
      </c>
      <c r="K21" t="str">
        <f t="shared" ca="1" si="2"/>
        <v>No</v>
      </c>
      <c r="L21" t="str">
        <f>IF(
ISNUMBER(
MATCH(
G21,
tblHighRiskCountries[Country],
0)),
"Yes",
"No")</f>
        <v>No</v>
      </c>
      <c r="M21" t="str">
        <f t="shared" ca="1" si="3"/>
        <v>No</v>
      </c>
      <c r="N21" t="str">
        <f t="shared" ca="1" si="6"/>
        <v>Normal</v>
      </c>
      <c r="O21">
        <f t="shared" ca="1" si="7"/>
        <v>1</v>
      </c>
      <c r="P21" t="str">
        <f t="shared" ca="1" si="8"/>
        <v>No</v>
      </c>
    </row>
    <row r="22" spans="1:16" x14ac:dyDescent="0.25">
      <c r="A22" t="str">
        <f>IF(_xlfn.XLOOKUP(DueDiligenceRegister[[#This Row],[Customer ID]], DueDiligenceRegister[Customer ID], DueDiligenceRegister[Account Status])="Open Account", DueDiligenceRegister[[#This Row],[Customer ID]], "Ineligible / Rejected")</f>
        <v>C0021</v>
      </c>
      <c r="B22" t="str">
        <f>IFERROR(
_xlfn.XLOOKUP(
A22,
tblCustomers[Customer ID],
tblCustomers[Full Name]
),
"")</f>
        <v>Halima Garba</v>
      </c>
      <c r="C22" s="2">
        <f t="shared" ca="1" si="4"/>
        <v>46131</v>
      </c>
      <c r="D22" t="s">
        <v>466</v>
      </c>
      <c r="E22">
        <f t="shared" ca="1" si="5"/>
        <v>2966.79</v>
      </c>
      <c r="F22" t="str">
        <f>IFERROR(
_xlfn.XLOOKUP(
A22,
tblCustomers[Customer ID],
tblCustomers[Country]
),
"")</f>
        <v>UAE</v>
      </c>
      <c r="G22" t="str">
        <f>IFERROR(
_xlfn.XLOOKUP(
A22,
tblCustomers[Customer ID],
tblCustomers[Delivery Channel]
),
"")</f>
        <v>Relationship Manager</v>
      </c>
      <c r="H22">
        <f>IFERROR(
_xlfn.XLOOKUP(
A22,
tblCustomers[Customer ID],
tblCustomers[Annual Income (USD)]
),
0)</f>
        <v>1511848</v>
      </c>
      <c r="I22">
        <f t="shared" ca="1" si="0"/>
        <v>0</v>
      </c>
      <c r="J22" t="str">
        <f t="shared" ca="1" si="1"/>
        <v>No</v>
      </c>
      <c r="K22" t="str">
        <f t="shared" ca="1" si="2"/>
        <v>No</v>
      </c>
      <c r="L22" t="str">
        <f>IF(
ISNUMBER(
MATCH(
G22,
tblHighRiskCountries[Country],
0)),
"Yes",
"No")</f>
        <v>No</v>
      </c>
      <c r="M22" t="str">
        <f t="shared" ca="1" si="3"/>
        <v>No</v>
      </c>
      <c r="N22" t="str">
        <f t="shared" ca="1" si="6"/>
        <v>Normal</v>
      </c>
      <c r="O22">
        <f t="shared" ca="1" si="7"/>
        <v>1</v>
      </c>
      <c r="P22" t="str">
        <f t="shared" ca="1" si="8"/>
        <v>No</v>
      </c>
    </row>
    <row r="23" spans="1:16" hidden="1" x14ac:dyDescent="0.25">
      <c r="A23" t="str">
        <f>IF(_xlfn.XLOOKUP(DueDiligenceRegister[[#This Row],[Customer ID]], DueDiligenceRegister[Customer ID], DueDiligenceRegister[Account Status])="Open Account", DueDiligenceRegister[[#This Row],[Customer ID]], "Ineligible / Rejected")</f>
        <v>Ineligible / Rejected</v>
      </c>
      <c r="B23" t="str">
        <f>IFERROR(
_xlfn.XLOOKUP(
A23,
tblCustomers[Customer ID],
tblCustomers[Full Name]
),
"")</f>
        <v/>
      </c>
      <c r="C23" s="2">
        <f t="shared" ca="1" si="4"/>
        <v>46096</v>
      </c>
      <c r="D23" t="s">
        <v>466</v>
      </c>
      <c r="E23">
        <f t="shared" ca="1" si="5"/>
        <v>9555.36</v>
      </c>
      <c r="F23" t="str">
        <f>IFERROR(
_xlfn.XLOOKUP(
A23,
tblCustomers[Customer ID],
tblCustomers[Country]
),
"")</f>
        <v/>
      </c>
      <c r="G23" t="str">
        <f>IFERROR(
_xlfn.XLOOKUP(
A23,
tblCustomers[Customer ID],
tblCustomers[Delivery Channel]
),
"")</f>
        <v/>
      </c>
      <c r="H23">
        <f>IFERROR(
_xlfn.XLOOKUP(
A23,
tblCustomers[Customer ID],
tblCustomers[Annual Income (USD)]
),
0)</f>
        <v>0</v>
      </c>
      <c r="I23">
        <f t="shared" ca="1" si="0"/>
        <v>6</v>
      </c>
      <c r="J23" t="str">
        <f t="shared" ca="1" si="1"/>
        <v>Yes</v>
      </c>
      <c r="K23" t="str">
        <f t="shared" ca="1" si="2"/>
        <v>No</v>
      </c>
      <c r="L23" t="str">
        <f>IF(
ISNUMBER(
MATCH(
G23,
tblHighRiskCountries[Country],
0)),
"Yes",
"No")</f>
        <v>No</v>
      </c>
      <c r="M23" t="str">
        <f t="shared" ca="1" si="3"/>
        <v>No</v>
      </c>
      <c r="N23" t="str">
        <f t="shared" ca="1" si="6"/>
        <v>Alert</v>
      </c>
      <c r="O23">
        <f t="shared" ca="1" si="7"/>
        <v>2</v>
      </c>
      <c r="P23" t="str">
        <f t="shared" ca="1" si="8"/>
        <v>No</v>
      </c>
    </row>
    <row r="24" spans="1:16" hidden="1" x14ac:dyDescent="0.25">
      <c r="A24" t="str">
        <f>IF(_xlfn.XLOOKUP(DueDiligenceRegister[[#This Row],[Customer ID]], DueDiligenceRegister[Customer ID], DueDiligenceRegister[Account Status])="Open Account", DueDiligenceRegister[[#This Row],[Customer ID]], "Ineligible / Rejected")</f>
        <v>Ineligible / Rejected</v>
      </c>
      <c r="B24" t="str">
        <f>IFERROR(
_xlfn.XLOOKUP(
A24,
tblCustomers[Customer ID],
tblCustomers[Full Name]
),
"")</f>
        <v/>
      </c>
      <c r="C24" s="2">
        <f t="shared" ca="1" si="4"/>
        <v>46231</v>
      </c>
      <c r="D24" t="s">
        <v>466</v>
      </c>
      <c r="E24">
        <f t="shared" ca="1" si="5"/>
        <v>485.16</v>
      </c>
      <c r="F24" t="str">
        <f>IFERROR(
_xlfn.XLOOKUP(
A24,
tblCustomers[Customer ID],
tblCustomers[Country]
),
"")</f>
        <v/>
      </c>
      <c r="G24" t="str">
        <f>IFERROR(
_xlfn.XLOOKUP(
A24,
tblCustomers[Customer ID],
tblCustomers[Delivery Channel]
),
"")</f>
        <v/>
      </c>
      <c r="H24">
        <f>IFERROR(
_xlfn.XLOOKUP(
A24,
tblCustomers[Customer ID],
tblCustomers[Annual Income (USD)]
),
0)</f>
        <v>0</v>
      </c>
      <c r="I24">
        <f t="shared" ca="1" si="0"/>
        <v>6</v>
      </c>
      <c r="J24" t="str">
        <f t="shared" ca="1" si="1"/>
        <v>Yes</v>
      </c>
      <c r="K24" t="str">
        <f t="shared" ca="1" si="2"/>
        <v>No</v>
      </c>
      <c r="L24" t="str">
        <f>IF(
ISNUMBER(
MATCH(
G24,
tblHighRiskCountries[Country],
0)),
"Yes",
"No")</f>
        <v>No</v>
      </c>
      <c r="M24" t="str">
        <f t="shared" ca="1" si="3"/>
        <v>No</v>
      </c>
      <c r="N24" t="str">
        <f t="shared" ca="1" si="6"/>
        <v>Alert</v>
      </c>
      <c r="O24">
        <f t="shared" ca="1" si="7"/>
        <v>2</v>
      </c>
      <c r="P24" t="str">
        <f t="shared" ca="1" si="8"/>
        <v>No</v>
      </c>
    </row>
    <row r="25" spans="1:16" x14ac:dyDescent="0.25">
      <c r="A25" t="str">
        <f>IF(_xlfn.XLOOKUP(DueDiligenceRegister[[#This Row],[Customer ID]], DueDiligenceRegister[Customer ID], DueDiligenceRegister[Account Status])="Open Account", DueDiligenceRegister[[#This Row],[Customer ID]], "Ineligible / Rejected")</f>
        <v>C0024</v>
      </c>
      <c r="B25" t="str">
        <f>IFERROR(
_xlfn.XLOOKUP(
A25,
tblCustomers[Customer ID],
tblCustomers[Full Name]
),
"")</f>
        <v>Peter Clark</v>
      </c>
      <c r="C25" s="2">
        <f t="shared" ca="1" si="4"/>
        <v>46146</v>
      </c>
      <c r="D25" t="s">
        <v>466</v>
      </c>
      <c r="E25">
        <f t="shared" ca="1" si="5"/>
        <v>108.56</v>
      </c>
      <c r="F25" t="str">
        <f>IFERROR(
_xlfn.XLOOKUP(
A25,
tblCustomers[Customer ID],
tblCustomers[Country]
),
"")</f>
        <v>Kenya</v>
      </c>
      <c r="G25" t="str">
        <f>IFERROR(
_xlfn.XLOOKUP(
A25,
tblCustomers[Customer ID],
tblCustomers[Delivery Channel]
),
"")</f>
        <v>Mobile App</v>
      </c>
      <c r="H25">
        <f>IFERROR(
_xlfn.XLOOKUP(
A25,
tblCustomers[Customer ID],
tblCustomers[Annual Income (USD)]
),
0)</f>
        <v>4113326</v>
      </c>
      <c r="I25">
        <f t="shared" ca="1" si="0"/>
        <v>0</v>
      </c>
      <c r="J25" t="str">
        <f t="shared" ca="1" si="1"/>
        <v>No</v>
      </c>
      <c r="K25" t="str">
        <f t="shared" ca="1" si="2"/>
        <v>No</v>
      </c>
      <c r="L25" t="str">
        <f>IF(
ISNUMBER(
MATCH(
G25,
tblHighRiskCountries[Country],
0)),
"Yes",
"No")</f>
        <v>No</v>
      </c>
      <c r="M25" t="str">
        <f t="shared" ca="1" si="3"/>
        <v>No</v>
      </c>
      <c r="N25" t="str">
        <f t="shared" ca="1" si="6"/>
        <v>Normal</v>
      </c>
      <c r="O25">
        <f t="shared" ca="1" si="7"/>
        <v>1</v>
      </c>
      <c r="P25" t="str">
        <f t="shared" ca="1" si="8"/>
        <v>No</v>
      </c>
    </row>
    <row r="26" spans="1:16" x14ac:dyDescent="0.25">
      <c r="A26" t="str">
        <f>IF(_xlfn.XLOOKUP(DueDiligenceRegister[[#This Row],[Customer ID]], DueDiligenceRegister[Customer ID], DueDiligenceRegister[Account Status])="Open Account", DueDiligenceRegister[[#This Row],[Customer ID]], "Ineligible / Rejected")</f>
        <v>C0025</v>
      </c>
      <c r="B26" t="str">
        <f>IFERROR(
_xlfn.XLOOKUP(
A26,
tblCustomers[Customer ID],
tblCustomers[Full Name]
),
"")</f>
        <v>Chioma Adebayo</v>
      </c>
      <c r="C26" s="2">
        <f t="shared" ca="1" si="4"/>
        <v>46072</v>
      </c>
      <c r="D26" t="s">
        <v>466</v>
      </c>
      <c r="E26">
        <f t="shared" ca="1" si="5"/>
        <v>8650.91</v>
      </c>
      <c r="F26" t="str">
        <f>IFERROR(
_xlfn.XLOOKUP(
A26,
tblCustomers[Customer ID],
tblCustomers[Country]
),
"")</f>
        <v>South Africa</v>
      </c>
      <c r="G26" t="str">
        <f>IFERROR(
_xlfn.XLOOKUP(
A26,
tblCustomers[Customer ID],
tblCustomers[Delivery Channel]
),
"")</f>
        <v>Online</v>
      </c>
      <c r="H26">
        <f>IFERROR(
_xlfn.XLOOKUP(
A26,
tblCustomers[Customer ID],
tblCustomers[Annual Income (USD)]
),
0)</f>
        <v>899817</v>
      </c>
      <c r="I26">
        <f t="shared" ca="1" si="0"/>
        <v>0</v>
      </c>
      <c r="J26" t="str">
        <f t="shared" ca="1" si="1"/>
        <v>No</v>
      </c>
      <c r="K26" t="str">
        <f t="shared" ca="1" si="2"/>
        <v>No</v>
      </c>
      <c r="L26" t="str">
        <f>IF(
ISNUMBER(
MATCH(
G26,
tblHighRiskCountries[Country],
0)),
"Yes",
"No")</f>
        <v>No</v>
      </c>
      <c r="M26" t="str">
        <f t="shared" ca="1" si="3"/>
        <v>No</v>
      </c>
      <c r="N26" t="str">
        <f t="shared" ca="1" si="6"/>
        <v>Normal</v>
      </c>
      <c r="O26">
        <f t="shared" ca="1" si="7"/>
        <v>1</v>
      </c>
      <c r="P26" t="str">
        <f t="shared" ca="1" si="8"/>
        <v>No</v>
      </c>
    </row>
    <row r="27" spans="1:16" x14ac:dyDescent="0.25">
      <c r="A27" t="str">
        <f>IF(_xlfn.XLOOKUP(DueDiligenceRegister[[#This Row],[Customer ID]], DueDiligenceRegister[Customer ID], DueDiligenceRegister[Account Status])="Open Account", DueDiligenceRegister[[#This Row],[Customer ID]], "Ineligible / Rejected")</f>
        <v>C0026</v>
      </c>
      <c r="B27" t="str">
        <f>IFERROR(
_xlfn.XLOOKUP(
A27,
tblCustomers[Customer ID],
tblCustomers[Full Name]
),
"")</f>
        <v>Zainab Williams</v>
      </c>
      <c r="C27" s="2">
        <f t="shared" ca="1" si="4"/>
        <v>46211</v>
      </c>
      <c r="D27" t="s">
        <v>466</v>
      </c>
      <c r="E27">
        <f t="shared" ca="1" si="5"/>
        <v>6504.02</v>
      </c>
      <c r="F27" t="str">
        <f>IFERROR(
_xlfn.XLOOKUP(
A27,
tblCustomers[Customer ID],
tblCustomers[Country]
),
"")</f>
        <v>Nigeria</v>
      </c>
      <c r="G27" t="str">
        <f>IFERROR(
_xlfn.XLOOKUP(
A27,
tblCustomers[Customer ID],
tblCustomers[Delivery Channel]
),
"")</f>
        <v>Mobile App</v>
      </c>
      <c r="H27">
        <f>IFERROR(
_xlfn.XLOOKUP(
A27,
tblCustomers[Customer ID],
tblCustomers[Annual Income (USD)]
),
0)</f>
        <v>999995</v>
      </c>
      <c r="I27">
        <f t="shared" ca="1" si="0"/>
        <v>1</v>
      </c>
      <c r="J27" t="str">
        <f t="shared" ca="1" si="1"/>
        <v>No</v>
      </c>
      <c r="K27" t="str">
        <f t="shared" ca="1" si="2"/>
        <v>No</v>
      </c>
      <c r="L27" t="str">
        <f>IF(
ISNUMBER(
MATCH(
G27,
tblHighRiskCountries[Country],
0)),
"Yes",
"No")</f>
        <v>No</v>
      </c>
      <c r="M27" t="str">
        <f t="shared" ca="1" si="3"/>
        <v>No</v>
      </c>
      <c r="N27" t="str">
        <f t="shared" ca="1" si="6"/>
        <v>Normal</v>
      </c>
      <c r="O27">
        <f t="shared" ca="1" si="7"/>
        <v>1</v>
      </c>
      <c r="P27" t="str">
        <f t="shared" ca="1" si="8"/>
        <v>No</v>
      </c>
    </row>
    <row r="28" spans="1:16" x14ac:dyDescent="0.25">
      <c r="A28" t="str">
        <f>IF(_xlfn.XLOOKUP(DueDiligenceRegister[[#This Row],[Customer ID]], DueDiligenceRegister[Customer ID], DueDiligenceRegister[Account Status])="Open Account", DueDiligenceRegister[[#This Row],[Customer ID]], "Ineligible / Rejected")</f>
        <v>C0027</v>
      </c>
      <c r="B28" t="str">
        <f>IFERROR(
_xlfn.XLOOKUP(
A28,
tblCustomers[Customer ID],
tblCustomers[Full Name]
),
"")</f>
        <v>Ruth Clark</v>
      </c>
      <c r="C28" s="2">
        <f t="shared" ca="1" si="4"/>
        <v>46071</v>
      </c>
      <c r="D28" t="s">
        <v>466</v>
      </c>
      <c r="E28">
        <f t="shared" ca="1" si="5"/>
        <v>8658.56</v>
      </c>
      <c r="F28" t="str">
        <f>IFERROR(
_xlfn.XLOOKUP(
A28,
tblCustomers[Customer ID],
tblCustomers[Country]
),
"")</f>
        <v>Ghana</v>
      </c>
      <c r="G28" t="str">
        <f>IFERROR(
_xlfn.XLOOKUP(
A28,
tblCustomers[Customer ID],
tblCustomers[Delivery Channel]
),
"")</f>
        <v>Online</v>
      </c>
      <c r="H28">
        <f>IFERROR(
_xlfn.XLOOKUP(
A28,
tblCustomers[Customer ID],
tblCustomers[Annual Income (USD)]
),
0)</f>
        <v>3260046</v>
      </c>
      <c r="I28">
        <f t="shared" ca="1" si="0"/>
        <v>0</v>
      </c>
      <c r="J28" t="str">
        <f t="shared" ca="1" si="1"/>
        <v>No</v>
      </c>
      <c r="K28" t="str">
        <f t="shared" ca="1" si="2"/>
        <v>No</v>
      </c>
      <c r="L28" t="str">
        <f>IF(
ISNUMBER(
MATCH(
G28,
tblHighRiskCountries[Country],
0)),
"Yes",
"No")</f>
        <v>No</v>
      </c>
      <c r="M28" t="str">
        <f t="shared" ca="1" si="3"/>
        <v>No</v>
      </c>
      <c r="N28" t="str">
        <f t="shared" ca="1" si="6"/>
        <v>Normal</v>
      </c>
      <c r="O28">
        <f t="shared" ca="1" si="7"/>
        <v>1</v>
      </c>
      <c r="P28" t="str">
        <f t="shared" ca="1" si="8"/>
        <v>No</v>
      </c>
    </row>
    <row r="29" spans="1:16" x14ac:dyDescent="0.25">
      <c r="A29" t="str">
        <f>IF(_xlfn.XLOOKUP(DueDiligenceRegister[[#This Row],[Customer ID]], DueDiligenceRegister[Customer ID], DueDiligenceRegister[Account Status])="Open Account", DueDiligenceRegister[[#This Row],[Customer ID]], "Ineligible / Rejected")</f>
        <v>C0028</v>
      </c>
      <c r="B29" t="str">
        <f>IFERROR(
_xlfn.XLOOKUP(
A29,
tblCustomers[Customer ID],
tblCustomers[Full Name]
),
"")</f>
        <v>Grace Clark</v>
      </c>
      <c r="C29" s="2">
        <f t="shared" ca="1" si="4"/>
        <v>46173</v>
      </c>
      <c r="D29" t="s">
        <v>466</v>
      </c>
      <c r="E29">
        <f t="shared" ca="1" si="5"/>
        <v>10497.49</v>
      </c>
      <c r="F29" t="str">
        <f>IFERROR(
_xlfn.XLOOKUP(
A29,
tblCustomers[Customer ID],
tblCustomers[Country]
),
"")</f>
        <v>Canada</v>
      </c>
      <c r="G29" t="str">
        <f>IFERROR(
_xlfn.XLOOKUP(
A29,
tblCustomers[Customer ID],
tblCustomers[Delivery Channel]
),
"")</f>
        <v>Branch</v>
      </c>
      <c r="H29">
        <f>IFERROR(
_xlfn.XLOOKUP(
A29,
tblCustomers[Customer ID],
tblCustomers[Annual Income (USD)]
),
0)</f>
        <v>4773492</v>
      </c>
      <c r="I29">
        <f t="shared" ca="1" si="0"/>
        <v>0</v>
      </c>
      <c r="J29" t="str">
        <f t="shared" ca="1" si="1"/>
        <v>No</v>
      </c>
      <c r="K29" t="str">
        <f t="shared" ca="1" si="2"/>
        <v>No</v>
      </c>
      <c r="L29" t="str">
        <f>IF(
ISNUMBER(
MATCH(
G29,
tblHighRiskCountries[Country],
0)),
"Yes",
"No")</f>
        <v>No</v>
      </c>
      <c r="M29" t="str">
        <f t="shared" ca="1" si="3"/>
        <v>No</v>
      </c>
      <c r="N29" t="str">
        <f t="shared" ca="1" si="6"/>
        <v>Normal</v>
      </c>
      <c r="O29">
        <f t="shared" ca="1" si="7"/>
        <v>1</v>
      </c>
      <c r="P29" t="str">
        <f t="shared" ca="1" si="8"/>
        <v>No</v>
      </c>
    </row>
    <row r="30" spans="1:16" x14ac:dyDescent="0.25">
      <c r="A30" t="str">
        <f>IF(_xlfn.XLOOKUP(DueDiligenceRegister[[#This Row],[Customer ID]], DueDiligenceRegister[Customer ID], DueDiligenceRegister[Account Status])="Open Account", DueDiligenceRegister[[#This Row],[Customer ID]], "Ineligible / Rejected")</f>
        <v>C0029</v>
      </c>
      <c r="B30" t="str">
        <f>IFERROR(
_xlfn.XLOOKUP(
A30,
tblCustomers[Customer ID],
tblCustomers[Full Name]
),
"")</f>
        <v>Precious Mohammed</v>
      </c>
      <c r="C30" s="2">
        <f t="shared" ca="1" si="4"/>
        <v>46201</v>
      </c>
      <c r="D30" t="s">
        <v>466</v>
      </c>
      <c r="E30">
        <f t="shared" ca="1" si="5"/>
        <v>9601.33</v>
      </c>
      <c r="F30" t="str">
        <f>IFERROR(
_xlfn.XLOOKUP(
A30,
tblCustomers[Customer ID],
tblCustomers[Country]
),
"")</f>
        <v>UAE</v>
      </c>
      <c r="G30" t="str">
        <f>IFERROR(
_xlfn.XLOOKUP(
A30,
tblCustomers[Customer ID],
tblCustomers[Delivery Channel]
),
"")</f>
        <v>Branch</v>
      </c>
      <c r="H30">
        <f>IFERROR(
_xlfn.XLOOKUP(
A30,
tblCustomers[Customer ID],
tblCustomers[Annual Income (USD)]
),
0)</f>
        <v>1149891</v>
      </c>
      <c r="I30">
        <f t="shared" ca="1" si="0"/>
        <v>0</v>
      </c>
      <c r="J30" t="str">
        <f t="shared" ca="1" si="1"/>
        <v>No</v>
      </c>
      <c r="K30" t="str">
        <f t="shared" ca="1" si="2"/>
        <v>No</v>
      </c>
      <c r="L30" t="str">
        <f>IF(
ISNUMBER(
MATCH(
G30,
tblHighRiskCountries[Country],
0)),
"Yes",
"No")</f>
        <v>No</v>
      </c>
      <c r="M30" t="str">
        <f t="shared" ca="1" si="3"/>
        <v>No</v>
      </c>
      <c r="N30" t="str">
        <f t="shared" ca="1" si="6"/>
        <v>Normal</v>
      </c>
      <c r="O30">
        <f t="shared" ca="1" si="7"/>
        <v>1</v>
      </c>
      <c r="P30" t="str">
        <f t="shared" ca="1" si="8"/>
        <v>No</v>
      </c>
    </row>
    <row r="31" spans="1:16" hidden="1" x14ac:dyDescent="0.25">
      <c r="A31" t="str">
        <f>IF(_xlfn.XLOOKUP(DueDiligenceRegister[[#This Row],[Customer ID]], DueDiligenceRegister[Customer ID], DueDiligenceRegister[Account Status])="Open Account", DueDiligenceRegister[[#This Row],[Customer ID]], "Ineligible / Rejected")</f>
        <v>Ineligible / Rejected</v>
      </c>
      <c r="B31" t="str">
        <f>IFERROR(
_xlfn.XLOOKUP(
A31,
tblCustomers[Customer ID],
tblCustomers[Full Name]
),
"")</f>
        <v/>
      </c>
      <c r="C31" s="2">
        <f t="shared" ca="1" si="4"/>
        <v>46158</v>
      </c>
      <c r="D31" t="s">
        <v>466</v>
      </c>
      <c r="E31">
        <f t="shared" ca="1" si="5"/>
        <v>6095.55</v>
      </c>
      <c r="F31" t="str">
        <f>IFERROR(
_xlfn.XLOOKUP(
A31,
tblCustomers[Customer ID],
tblCustomers[Country]
),
"")</f>
        <v/>
      </c>
      <c r="G31" t="str">
        <f>IFERROR(
_xlfn.XLOOKUP(
A31,
tblCustomers[Customer ID],
tblCustomers[Delivery Channel]
),
"")</f>
        <v/>
      </c>
      <c r="H31">
        <f>IFERROR(
_xlfn.XLOOKUP(
A31,
tblCustomers[Customer ID],
tblCustomers[Annual Income (USD)]
),
0)</f>
        <v>0</v>
      </c>
      <c r="I31">
        <f t="shared" ca="1" si="0"/>
        <v>6</v>
      </c>
      <c r="J31" t="str">
        <f t="shared" ca="1" si="1"/>
        <v>Yes</v>
      </c>
      <c r="K31" t="str">
        <f t="shared" ca="1" si="2"/>
        <v>No</v>
      </c>
      <c r="L31" t="str">
        <f>IF(
ISNUMBER(
MATCH(
G31,
tblHighRiskCountries[Country],
0)),
"Yes",
"No")</f>
        <v>No</v>
      </c>
      <c r="M31" t="str">
        <f t="shared" ca="1" si="3"/>
        <v>No</v>
      </c>
      <c r="N31" t="str">
        <f t="shared" ca="1" si="6"/>
        <v>Alert</v>
      </c>
      <c r="O31">
        <f t="shared" ca="1" si="7"/>
        <v>2</v>
      </c>
      <c r="P31" t="str">
        <f t="shared" ca="1" si="8"/>
        <v>No</v>
      </c>
    </row>
    <row r="32" spans="1:16" x14ac:dyDescent="0.25">
      <c r="A32" t="str">
        <f>IF(_xlfn.XLOOKUP(DueDiligenceRegister[[#This Row],[Customer ID]], DueDiligenceRegister[Customer ID], DueDiligenceRegister[Account Status])="Open Account", DueDiligenceRegister[[#This Row],[Customer ID]], "Ineligible / Rejected")</f>
        <v>C0031</v>
      </c>
      <c r="B32" t="str">
        <f>IFERROR(
_xlfn.XLOOKUP(
A32,
tblCustomers[Customer ID],
tblCustomers[Full Name]
),
"")</f>
        <v>Grace Garba</v>
      </c>
      <c r="C32" s="2">
        <f t="shared" ca="1" si="4"/>
        <v>46061</v>
      </c>
      <c r="D32" t="s">
        <v>466</v>
      </c>
      <c r="E32">
        <f t="shared" ca="1" si="5"/>
        <v>488.61</v>
      </c>
      <c r="F32" t="str">
        <f>IFERROR(
_xlfn.XLOOKUP(
A32,
tblCustomers[Customer ID],
tblCustomers[Country]
),
"")</f>
        <v>UAE</v>
      </c>
      <c r="G32" t="str">
        <f>IFERROR(
_xlfn.XLOOKUP(
A32,
tblCustomers[Customer ID],
tblCustomers[Delivery Channel]
),
"")</f>
        <v>Relationship Manager</v>
      </c>
      <c r="H32">
        <f>IFERROR(
_xlfn.XLOOKUP(
A32,
tblCustomers[Customer ID],
tblCustomers[Annual Income (USD)]
),
0)</f>
        <v>4966393</v>
      </c>
      <c r="I32">
        <f t="shared" ca="1" si="0"/>
        <v>0</v>
      </c>
      <c r="J32" t="str">
        <f t="shared" ca="1" si="1"/>
        <v>No</v>
      </c>
      <c r="K32" t="str">
        <f t="shared" ca="1" si="2"/>
        <v>No</v>
      </c>
      <c r="L32" t="str">
        <f>IF(
ISNUMBER(
MATCH(
G32,
tblHighRiskCountries[Country],
0)),
"Yes",
"No")</f>
        <v>No</v>
      </c>
      <c r="M32" t="str">
        <f t="shared" ca="1" si="3"/>
        <v>No</v>
      </c>
      <c r="N32" t="str">
        <f t="shared" ca="1" si="6"/>
        <v>Normal</v>
      </c>
      <c r="O32">
        <f t="shared" ca="1" si="7"/>
        <v>1</v>
      </c>
      <c r="P32" t="str">
        <f t="shared" ca="1" si="8"/>
        <v>No</v>
      </c>
    </row>
    <row r="33" spans="1:16" x14ac:dyDescent="0.25">
      <c r="A33" t="str">
        <f>IF(_xlfn.XLOOKUP(DueDiligenceRegister[[#This Row],[Customer ID]], DueDiligenceRegister[Customer ID], DueDiligenceRegister[Account Status])="Open Account", DueDiligenceRegister[[#This Row],[Customer ID]], "Ineligible / Rejected")</f>
        <v>C0032</v>
      </c>
      <c r="B33" t="str">
        <f>IFERROR(
_xlfn.XLOOKUP(
A33,
tblCustomers[Customer ID],
tblCustomers[Full Name]
),
"")</f>
        <v>Emeka Garba</v>
      </c>
      <c r="C33" s="2">
        <f t="shared" ca="1" si="4"/>
        <v>46125</v>
      </c>
      <c r="D33" t="s">
        <v>466</v>
      </c>
      <c r="E33">
        <f t="shared" ca="1" si="5"/>
        <v>9663.43</v>
      </c>
      <c r="F33" t="str">
        <f>IFERROR(
_xlfn.XLOOKUP(
A33,
tblCustomers[Customer ID],
tblCustomers[Country]
),
"")</f>
        <v>United States</v>
      </c>
      <c r="G33" t="str">
        <f>IFERROR(
_xlfn.XLOOKUP(
A33,
tblCustomers[Customer ID],
tblCustomers[Delivery Channel]
),
"")</f>
        <v>Online</v>
      </c>
      <c r="H33">
        <f>IFERROR(
_xlfn.XLOOKUP(
A33,
tblCustomers[Customer ID],
tblCustomers[Annual Income (USD)]
),
0)</f>
        <v>4982927</v>
      </c>
      <c r="I33">
        <f t="shared" ca="1" si="0"/>
        <v>0</v>
      </c>
      <c r="J33" t="str">
        <f t="shared" ca="1" si="1"/>
        <v>No</v>
      </c>
      <c r="K33" t="str">
        <f t="shared" ca="1" si="2"/>
        <v>No</v>
      </c>
      <c r="L33" t="str">
        <f>IF(
ISNUMBER(
MATCH(
G33,
tblHighRiskCountries[Country],
0)),
"Yes",
"No")</f>
        <v>No</v>
      </c>
      <c r="M33" t="str">
        <f t="shared" ca="1" si="3"/>
        <v>No</v>
      </c>
      <c r="N33" t="str">
        <f t="shared" ca="1" si="6"/>
        <v>Normal</v>
      </c>
      <c r="O33">
        <f t="shared" ca="1" si="7"/>
        <v>1</v>
      </c>
      <c r="P33" t="str">
        <f t="shared" ca="1" si="8"/>
        <v>No</v>
      </c>
    </row>
    <row r="34" spans="1:16" x14ac:dyDescent="0.25">
      <c r="A34" t="str">
        <f>IF(_xlfn.XLOOKUP(DueDiligenceRegister[[#This Row],[Customer ID]], DueDiligenceRegister[Customer ID], DueDiligenceRegister[Account Status])="Open Account", DueDiligenceRegister[[#This Row],[Customer ID]], "Ineligible / Rejected")</f>
        <v>C0033</v>
      </c>
      <c r="B34" t="str">
        <f>IFERROR(
_xlfn.XLOOKUP(
A34,
tblCustomers[Customer ID],
tblCustomers[Full Name]
),
"")</f>
        <v>Esther Okeke</v>
      </c>
      <c r="C34" s="2">
        <f t="shared" ca="1" si="4"/>
        <v>46107</v>
      </c>
      <c r="D34" t="s">
        <v>466</v>
      </c>
      <c r="E34">
        <f t="shared" ca="1" si="5"/>
        <v>1469.85</v>
      </c>
      <c r="F34" t="str">
        <f>IFERROR(
_xlfn.XLOOKUP(
A34,
tblCustomers[Customer ID],
tblCustomers[Country]
),
"")</f>
        <v>Nigeria</v>
      </c>
      <c r="G34" t="str">
        <f>IFERROR(
_xlfn.XLOOKUP(
A34,
tblCustomers[Customer ID],
tblCustomers[Delivery Channel]
),
"")</f>
        <v>Mobile App</v>
      </c>
      <c r="H34">
        <f>IFERROR(
_xlfn.XLOOKUP(
A34,
tblCustomers[Customer ID],
tblCustomers[Annual Income (USD)]
),
0)</f>
        <v>3012716</v>
      </c>
      <c r="I34">
        <f t="shared" ref="I34:I65" ca="1" si="9">COUNTIFS(A:A,A34,C:C,"&gt;="&amp;TODAY()-30)</f>
        <v>0</v>
      </c>
      <c r="J34" t="str">
        <f t="shared" ref="J34:J65" ca="1" si="10">IF(E34&gt;=H34*0.25,"Yes","No")</f>
        <v>No</v>
      </c>
      <c r="K34" t="str">
        <f t="shared" ca="1" si="2"/>
        <v>No</v>
      </c>
      <c r="L34" t="str">
        <f>IF(
ISNUMBER(
MATCH(
G34,
tblHighRiskCountries[Country],
0)),
"Yes",
"No")</f>
        <v>No</v>
      </c>
      <c r="M34" t="str">
        <f t="shared" ref="M34:M65" ca="1" si="11">IF(COUNTIFS(A:A,A34,E:E,"&gt;=9000",E:E,"&lt;=9999")&gt;=5,"Yes","No")</f>
        <v>No</v>
      </c>
      <c r="N34" t="str">
        <f t="shared" ca="1" si="6"/>
        <v>Normal</v>
      </c>
      <c r="O34">
        <f t="shared" ca="1" si="7"/>
        <v>1</v>
      </c>
      <c r="P34" t="str">
        <f t="shared" ca="1" si="8"/>
        <v>No</v>
      </c>
    </row>
    <row r="35" spans="1:16" x14ac:dyDescent="0.25">
      <c r="A35" t="str">
        <f>IF(_xlfn.XLOOKUP(DueDiligenceRegister[[#This Row],[Customer ID]], DueDiligenceRegister[Customer ID], DueDiligenceRegister[Account Status])="Open Account", DueDiligenceRegister[[#This Row],[Customer ID]], "Ineligible / Rejected")</f>
        <v>C0034</v>
      </c>
      <c r="B35" t="str">
        <f>IFERROR(
_xlfn.XLOOKUP(
A35,
tblCustomers[Customer ID],
tblCustomers[Full Name]
),
"")</f>
        <v>Ruth Mohammed</v>
      </c>
      <c r="C35" s="2">
        <f t="shared" ca="1" si="4"/>
        <v>46113</v>
      </c>
      <c r="D35" t="s">
        <v>466</v>
      </c>
      <c r="E35">
        <f t="shared" ca="1" si="5"/>
        <v>2825.62</v>
      </c>
      <c r="F35" t="str">
        <f>IFERROR(
_xlfn.XLOOKUP(
A35,
tblCustomers[Customer ID],
tblCustomers[Country]
),
"")</f>
        <v>United Kingdom</v>
      </c>
      <c r="G35" t="str">
        <f>IFERROR(
_xlfn.XLOOKUP(
A35,
tblCustomers[Customer ID],
tblCustomers[Delivery Channel]
),
"")</f>
        <v>Online</v>
      </c>
      <c r="H35">
        <f>IFERROR(
_xlfn.XLOOKUP(
A35,
tblCustomers[Customer ID],
tblCustomers[Annual Income (USD)]
),
0)</f>
        <v>1830478</v>
      </c>
      <c r="I35">
        <f t="shared" ca="1" si="9"/>
        <v>0</v>
      </c>
      <c r="J35" t="str">
        <f t="shared" ca="1" si="10"/>
        <v>No</v>
      </c>
      <c r="K35" t="str">
        <f t="shared" ca="1" si="2"/>
        <v>No</v>
      </c>
      <c r="L35" t="str">
        <f>IF(
ISNUMBER(
MATCH(
G35,
tblHighRiskCountries[Country],
0)),
"Yes",
"No")</f>
        <v>No</v>
      </c>
      <c r="M35" t="str">
        <f t="shared" ca="1" si="11"/>
        <v>No</v>
      </c>
      <c r="N35" t="str">
        <f t="shared" ca="1" si="6"/>
        <v>Normal</v>
      </c>
      <c r="O35">
        <f t="shared" ca="1" si="7"/>
        <v>1</v>
      </c>
      <c r="P35" t="str">
        <f t="shared" ca="1" si="8"/>
        <v>No</v>
      </c>
    </row>
    <row r="36" spans="1:16" x14ac:dyDescent="0.25">
      <c r="A36" t="str">
        <f>IF(_xlfn.XLOOKUP(DueDiligenceRegister[[#This Row],[Customer ID]], DueDiligenceRegister[Customer ID], DueDiligenceRegister[Account Status])="Open Account", DueDiligenceRegister[[#This Row],[Customer ID]], "Ineligible / Rejected")</f>
        <v>C0035</v>
      </c>
      <c r="B36" t="str">
        <f>IFERROR(
_xlfn.XLOOKUP(
A36,
tblCustomers[Customer ID],
tblCustomers[Full Name]
),
"")</f>
        <v>Amina Smith</v>
      </c>
      <c r="C36" s="2">
        <f t="shared" ca="1" si="4"/>
        <v>46177</v>
      </c>
      <c r="D36" t="s">
        <v>466</v>
      </c>
      <c r="E36">
        <f t="shared" ca="1" si="5"/>
        <v>3771.05</v>
      </c>
      <c r="F36" t="str">
        <f>IFERROR(
_xlfn.XLOOKUP(
A36,
tblCustomers[Customer ID],
tblCustomers[Country]
),
"")</f>
        <v>Kenya</v>
      </c>
      <c r="G36" t="str">
        <f>IFERROR(
_xlfn.XLOOKUP(
A36,
tblCustomers[Customer ID],
tblCustomers[Delivery Channel]
),
"")</f>
        <v>Online</v>
      </c>
      <c r="H36">
        <f>IFERROR(
_xlfn.XLOOKUP(
A36,
tblCustomers[Customer ID],
tblCustomers[Annual Income (USD)]
),
0)</f>
        <v>3816334</v>
      </c>
      <c r="I36">
        <f t="shared" ca="1" si="9"/>
        <v>0</v>
      </c>
      <c r="J36" t="str">
        <f t="shared" ca="1" si="10"/>
        <v>No</v>
      </c>
      <c r="K36" t="str">
        <f t="shared" ca="1" si="2"/>
        <v>No</v>
      </c>
      <c r="L36" t="str">
        <f>IF(
ISNUMBER(
MATCH(
G36,
tblHighRiskCountries[Country],
0)),
"Yes",
"No")</f>
        <v>No</v>
      </c>
      <c r="M36" t="str">
        <f t="shared" ca="1" si="11"/>
        <v>No</v>
      </c>
      <c r="N36" t="str">
        <f t="shared" ca="1" si="6"/>
        <v>Normal</v>
      </c>
      <c r="O36">
        <f t="shared" ca="1" si="7"/>
        <v>1</v>
      </c>
      <c r="P36" t="str">
        <f t="shared" ca="1" si="8"/>
        <v>No</v>
      </c>
    </row>
    <row r="37" spans="1:16" hidden="1" x14ac:dyDescent="0.25">
      <c r="A37" t="str">
        <f>IF(_xlfn.XLOOKUP(DueDiligenceRegister[[#This Row],[Customer ID]], DueDiligenceRegister[Customer ID], DueDiligenceRegister[Account Status])="Open Account", DueDiligenceRegister[[#This Row],[Customer ID]], "Ineligible / Rejected")</f>
        <v>Ineligible / Rejected</v>
      </c>
      <c r="B37" t="str">
        <f>IFERROR(
_xlfn.XLOOKUP(
A37,
tblCustomers[Customer ID],
tblCustomers[Full Name]
),
"")</f>
        <v/>
      </c>
      <c r="C37" s="2">
        <f t="shared" ca="1" si="4"/>
        <v>46097</v>
      </c>
      <c r="D37" t="s">
        <v>466</v>
      </c>
      <c r="E37">
        <f t="shared" ca="1" si="5"/>
        <v>1651.77</v>
      </c>
      <c r="F37" t="str">
        <f>IFERROR(
_xlfn.XLOOKUP(
A37,
tblCustomers[Customer ID],
tblCustomers[Country]
),
"")</f>
        <v/>
      </c>
      <c r="G37" t="str">
        <f>IFERROR(
_xlfn.XLOOKUP(
A37,
tblCustomers[Customer ID],
tblCustomers[Delivery Channel]
),
"")</f>
        <v/>
      </c>
      <c r="H37">
        <f>IFERROR(
_xlfn.XLOOKUP(
A37,
tblCustomers[Customer ID],
tblCustomers[Annual Income (USD)]
),
0)</f>
        <v>0</v>
      </c>
      <c r="I37">
        <f t="shared" ca="1" si="9"/>
        <v>6</v>
      </c>
      <c r="J37" t="str">
        <f t="shared" ca="1" si="10"/>
        <v>Yes</v>
      </c>
      <c r="K37" t="str">
        <f t="shared" ca="1" si="2"/>
        <v>No</v>
      </c>
      <c r="L37" t="str">
        <f>IF(
ISNUMBER(
MATCH(
G37,
tblHighRiskCountries[Country],
0)),
"Yes",
"No")</f>
        <v>No</v>
      </c>
      <c r="M37" t="str">
        <f t="shared" ca="1" si="11"/>
        <v>No</v>
      </c>
      <c r="N37" t="str">
        <f t="shared" ca="1" si="6"/>
        <v>Alert</v>
      </c>
      <c r="O37">
        <f t="shared" ref="O37:O66" ca="1" si="12">_xlfn.IFS(N37="Normal",1,AND(J37="Yes",K37="No"),2,AND(K37="Yes",J37="No"),3,AND(J37="Yes",K37="Yes"),4,OR(L37="Yes",M37="Yes"),5)</f>
        <v>2</v>
      </c>
      <c r="P37" t="str">
        <f t="shared" ca="1" si="8"/>
        <v>No</v>
      </c>
    </row>
    <row r="38" spans="1:16" x14ac:dyDescent="0.25">
      <c r="A38" t="str">
        <f>IF(_xlfn.XLOOKUP(DueDiligenceRegister[[#This Row],[Customer ID]], DueDiligenceRegister[Customer ID], DueDiligenceRegister[Account Status])="Open Account", DueDiligenceRegister[[#This Row],[Customer ID]], "Ineligible / Rejected")</f>
        <v>C0037</v>
      </c>
      <c r="B38" t="str">
        <f>IFERROR(
_xlfn.XLOOKUP(
A38,
tblCustomers[Customer ID],
tblCustomers[Full Name]
),
"")</f>
        <v>Chioma Johnson</v>
      </c>
      <c r="C38" s="2">
        <f t="shared" ca="1" si="4"/>
        <v>46112</v>
      </c>
      <c r="D38" t="s">
        <v>466</v>
      </c>
      <c r="E38">
        <f t="shared" ca="1" si="5"/>
        <v>10572.55</v>
      </c>
      <c r="F38" t="str">
        <f>IFERROR(
_xlfn.XLOOKUP(
A38,
tblCustomers[Customer ID],
tblCustomers[Country]
),
"")</f>
        <v>Nigeria</v>
      </c>
      <c r="G38" t="str">
        <f>IFERROR(
_xlfn.XLOOKUP(
A38,
tblCustomers[Customer ID],
tblCustomers[Delivery Channel]
),
"")</f>
        <v>Online</v>
      </c>
      <c r="H38">
        <f>IFERROR(
_xlfn.XLOOKUP(
A38,
tblCustomers[Customer ID],
tblCustomers[Annual Income (USD)]
),
0)</f>
        <v>1360079</v>
      </c>
      <c r="I38">
        <f t="shared" ca="1" si="9"/>
        <v>0</v>
      </c>
      <c r="J38" t="str">
        <f t="shared" ca="1" si="10"/>
        <v>No</v>
      </c>
      <c r="K38" t="str">
        <f t="shared" ca="1" si="2"/>
        <v>No</v>
      </c>
      <c r="L38" t="str">
        <f>IF(
ISNUMBER(
MATCH(
G38,
tblHighRiskCountries[Country],
0)),
"Yes",
"No")</f>
        <v>No</v>
      </c>
      <c r="M38" t="str">
        <f t="shared" ca="1" si="11"/>
        <v>No</v>
      </c>
      <c r="N38" t="str">
        <f t="shared" ca="1" si="6"/>
        <v>Normal</v>
      </c>
      <c r="O38">
        <f t="shared" ca="1" si="7"/>
        <v>1</v>
      </c>
      <c r="P38" t="str">
        <f t="shared" ca="1" si="8"/>
        <v>No</v>
      </c>
    </row>
    <row r="39" spans="1:16" hidden="1" x14ac:dyDescent="0.25">
      <c r="A39" t="str">
        <f>IF(_xlfn.XLOOKUP(DueDiligenceRegister[[#This Row],[Customer ID]], DueDiligenceRegister[Customer ID], DueDiligenceRegister[Account Status])="Open Account", DueDiligenceRegister[[#This Row],[Customer ID]], "Ineligible / Rejected")</f>
        <v>Ineligible / Rejected</v>
      </c>
      <c r="B39" t="str">
        <f>IFERROR(
_xlfn.XLOOKUP(
A39,
tblCustomers[Customer ID],
tblCustomers[Full Name]
),
"")</f>
        <v/>
      </c>
      <c r="C39" s="2">
        <f t="shared" ca="1" si="4"/>
        <v>46149</v>
      </c>
      <c r="D39" t="s">
        <v>466</v>
      </c>
      <c r="E39">
        <f t="shared" ca="1" si="5"/>
        <v>1355.95</v>
      </c>
      <c r="F39" t="str">
        <f>IFERROR(
_xlfn.XLOOKUP(
A39,
tblCustomers[Customer ID],
tblCustomers[Country]
),
"")</f>
        <v/>
      </c>
      <c r="G39" t="str">
        <f>IFERROR(
_xlfn.XLOOKUP(
A39,
tblCustomers[Customer ID],
tblCustomers[Delivery Channel]
),
"")</f>
        <v/>
      </c>
      <c r="H39">
        <f>IFERROR(
_xlfn.XLOOKUP(
A39,
tblCustomers[Customer ID],
tblCustomers[Annual Income (USD)]
),
0)</f>
        <v>0</v>
      </c>
      <c r="I39">
        <f t="shared" ca="1" si="9"/>
        <v>6</v>
      </c>
      <c r="J39" t="str">
        <f t="shared" ca="1" si="10"/>
        <v>Yes</v>
      </c>
      <c r="K39" t="str">
        <f t="shared" ca="1" si="2"/>
        <v>No</v>
      </c>
      <c r="L39" t="str">
        <f>IF(
ISNUMBER(
MATCH(
G39,
tblHighRiskCountries[Country],
0)),
"Yes",
"No")</f>
        <v>No</v>
      </c>
      <c r="M39" t="str">
        <f t="shared" ca="1" si="11"/>
        <v>No</v>
      </c>
      <c r="N39" t="str">
        <f t="shared" ca="1" si="6"/>
        <v>Alert</v>
      </c>
      <c r="O39">
        <f t="shared" ca="1" si="12"/>
        <v>2</v>
      </c>
      <c r="P39" t="str">
        <f t="shared" ca="1" si="8"/>
        <v>No</v>
      </c>
    </row>
    <row r="40" spans="1:16" x14ac:dyDescent="0.25">
      <c r="A40" t="str">
        <f>IF(_xlfn.XLOOKUP(DueDiligenceRegister[[#This Row],[Customer ID]], DueDiligenceRegister[Customer ID], DueDiligenceRegister[Account Status])="Open Account", DueDiligenceRegister[[#This Row],[Customer ID]], "Ineligible / Rejected")</f>
        <v>C0039</v>
      </c>
      <c r="B40" t="str">
        <f>IFERROR(
_xlfn.XLOOKUP(
A40,
tblCustomers[Customer ID],
tblCustomers[Full Name]
),
"")</f>
        <v>Amina Musa</v>
      </c>
      <c r="C40" s="2">
        <f t="shared" ca="1" si="4"/>
        <v>46107</v>
      </c>
      <c r="D40" t="s">
        <v>466</v>
      </c>
      <c r="E40">
        <f t="shared" ca="1" si="5"/>
        <v>11116.68</v>
      </c>
      <c r="F40" t="str">
        <f>IFERROR(
_xlfn.XLOOKUP(
A40,
tblCustomers[Customer ID],
tblCustomers[Country]
),
"")</f>
        <v>United States</v>
      </c>
      <c r="G40" t="str">
        <f>IFERROR(
_xlfn.XLOOKUP(
A40,
tblCustomers[Customer ID],
tblCustomers[Delivery Channel]
),
"")</f>
        <v>Mobile App</v>
      </c>
      <c r="H40">
        <f>IFERROR(
_xlfn.XLOOKUP(
A40,
tblCustomers[Customer ID],
tblCustomers[Annual Income (USD)]
),
0)</f>
        <v>903543</v>
      </c>
      <c r="I40">
        <f t="shared" ca="1" si="9"/>
        <v>0</v>
      </c>
      <c r="J40" t="str">
        <f t="shared" ca="1" si="10"/>
        <v>No</v>
      </c>
      <c r="K40" t="str">
        <f t="shared" ca="1" si="2"/>
        <v>No</v>
      </c>
      <c r="L40" t="str">
        <f>IF(
ISNUMBER(
MATCH(
G40,
tblHighRiskCountries[Country],
0)),
"Yes",
"No")</f>
        <v>No</v>
      </c>
      <c r="M40" t="str">
        <f t="shared" ca="1" si="11"/>
        <v>No</v>
      </c>
      <c r="N40" t="str">
        <f t="shared" ca="1" si="6"/>
        <v>Normal</v>
      </c>
      <c r="O40">
        <f t="shared" ca="1" si="7"/>
        <v>1</v>
      </c>
      <c r="P40" t="str">
        <f t="shared" ca="1" si="8"/>
        <v>No</v>
      </c>
    </row>
    <row r="41" spans="1:16" x14ac:dyDescent="0.25">
      <c r="A41" t="str">
        <f>IF(_xlfn.XLOOKUP(DueDiligenceRegister[[#This Row],[Customer ID]], DueDiligenceRegister[Customer ID], DueDiligenceRegister[Account Status])="Open Account", DueDiligenceRegister[[#This Row],[Customer ID]], "Ineligible / Rejected")</f>
        <v>C0040</v>
      </c>
      <c r="B41" t="str">
        <f>IFERROR(
_xlfn.XLOOKUP(
A41,
tblCustomers[Customer ID],
tblCustomers[Full Name]
),
"")</f>
        <v>James Smith</v>
      </c>
      <c r="C41" s="2">
        <f t="shared" ca="1" si="4"/>
        <v>46094</v>
      </c>
      <c r="D41" t="s">
        <v>466</v>
      </c>
      <c r="E41">
        <f t="shared" ca="1" si="5"/>
        <v>6171.08</v>
      </c>
      <c r="F41" t="str">
        <f>IFERROR(
_xlfn.XLOOKUP(
A41,
tblCustomers[Customer ID],
tblCustomers[Country]
),
"")</f>
        <v>UAE</v>
      </c>
      <c r="G41" t="str">
        <f>IFERROR(
_xlfn.XLOOKUP(
A41,
tblCustomers[Customer ID],
tblCustomers[Delivery Channel]
),
"")</f>
        <v>Online</v>
      </c>
      <c r="H41">
        <f>IFERROR(
_xlfn.XLOOKUP(
A41,
tblCustomers[Customer ID],
tblCustomers[Annual Income (USD)]
),
0)</f>
        <v>2841568</v>
      </c>
      <c r="I41">
        <f t="shared" ca="1" si="9"/>
        <v>0</v>
      </c>
      <c r="J41" t="str">
        <f t="shared" ca="1" si="10"/>
        <v>No</v>
      </c>
      <c r="K41" t="str">
        <f t="shared" ca="1" si="2"/>
        <v>No</v>
      </c>
      <c r="L41" t="str">
        <f>IF(
ISNUMBER(
MATCH(
G41,
tblHighRiskCountries[Country],
0)),
"Yes",
"No")</f>
        <v>No</v>
      </c>
      <c r="M41" t="str">
        <f t="shared" ca="1" si="11"/>
        <v>No</v>
      </c>
      <c r="N41" t="str">
        <f t="shared" ca="1" si="6"/>
        <v>Normal</v>
      </c>
      <c r="O41">
        <f t="shared" ca="1" si="7"/>
        <v>1</v>
      </c>
      <c r="P41" t="str">
        <f t="shared" ca="1" si="8"/>
        <v>No</v>
      </c>
    </row>
    <row r="42" spans="1:16" hidden="1" x14ac:dyDescent="0.25">
      <c r="A42" t="str">
        <f>IF(_xlfn.XLOOKUP(DueDiligenceRegister[[#This Row],[Customer ID]], DueDiligenceRegister[Customer ID], DueDiligenceRegister[Account Status])="Open Account", DueDiligenceRegister[[#This Row],[Customer ID]], "Ineligible / Rejected")</f>
        <v>Ineligible / Rejected</v>
      </c>
      <c r="B42" t="str">
        <f>IFERROR(
_xlfn.XLOOKUP(
A42,
tblCustomers[Customer ID],
tblCustomers[Full Name]
),
"")</f>
        <v/>
      </c>
      <c r="C42" s="2">
        <f t="shared" ca="1" si="4"/>
        <v>46191</v>
      </c>
      <c r="D42" t="s">
        <v>466</v>
      </c>
      <c r="E42">
        <f t="shared" ca="1" si="5"/>
        <v>12283.35</v>
      </c>
      <c r="F42" t="str">
        <f>IFERROR(
_xlfn.XLOOKUP(
A42,
tblCustomers[Customer ID],
tblCustomers[Country]
),
"")</f>
        <v/>
      </c>
      <c r="G42" t="str">
        <f>IFERROR(
_xlfn.XLOOKUP(
A42,
tblCustomers[Customer ID],
tblCustomers[Delivery Channel]
),
"")</f>
        <v/>
      </c>
      <c r="H42">
        <f>IFERROR(
_xlfn.XLOOKUP(
A42,
tblCustomers[Customer ID],
tblCustomers[Annual Income (USD)]
),
0)</f>
        <v>0</v>
      </c>
      <c r="I42">
        <f t="shared" ca="1" si="9"/>
        <v>6</v>
      </c>
      <c r="J42" t="str">
        <f t="shared" ca="1" si="10"/>
        <v>Yes</v>
      </c>
      <c r="K42" t="str">
        <f t="shared" ca="1" si="2"/>
        <v>No</v>
      </c>
      <c r="L42" t="str">
        <f>IF(
ISNUMBER(
MATCH(
G42,
tblHighRiskCountries[Country],
0)),
"Yes",
"No")</f>
        <v>No</v>
      </c>
      <c r="M42" t="str">
        <f t="shared" ca="1" si="11"/>
        <v>No</v>
      </c>
      <c r="N42" t="str">
        <f t="shared" ca="1" si="6"/>
        <v>Alert</v>
      </c>
      <c r="O42">
        <f t="shared" ca="1" si="12"/>
        <v>2</v>
      </c>
      <c r="P42" t="str">
        <f t="shared" ca="1" si="8"/>
        <v>No</v>
      </c>
    </row>
    <row r="43" spans="1:16" hidden="1" x14ac:dyDescent="0.25">
      <c r="A43" t="str">
        <f>IF(_xlfn.XLOOKUP(DueDiligenceRegister[[#This Row],[Customer ID]], DueDiligenceRegister[Customer ID], DueDiligenceRegister[Account Status])="Open Account", DueDiligenceRegister[[#This Row],[Customer ID]], "Ineligible / Rejected")</f>
        <v>Ineligible / Rejected</v>
      </c>
      <c r="B43" t="str">
        <f>IFERROR(
_xlfn.XLOOKUP(
A43,
tblCustomers[Customer ID],
tblCustomers[Full Name]
),
"")</f>
        <v/>
      </c>
      <c r="C43" s="2">
        <f t="shared" ca="1" si="4"/>
        <v>46148</v>
      </c>
      <c r="D43" t="s">
        <v>466</v>
      </c>
      <c r="E43">
        <f t="shared" ca="1" si="5"/>
        <v>2986.76</v>
      </c>
      <c r="F43" t="str">
        <f>IFERROR(
_xlfn.XLOOKUP(
A43,
tblCustomers[Customer ID],
tblCustomers[Country]
),
"")</f>
        <v/>
      </c>
      <c r="G43" t="str">
        <f>IFERROR(
_xlfn.XLOOKUP(
A43,
tblCustomers[Customer ID],
tblCustomers[Delivery Channel]
),
"")</f>
        <v/>
      </c>
      <c r="H43">
        <f>IFERROR(
_xlfn.XLOOKUP(
A43,
tblCustomers[Customer ID],
tblCustomers[Annual Income (USD)]
),
0)</f>
        <v>0</v>
      </c>
      <c r="I43">
        <f t="shared" ca="1" si="9"/>
        <v>6</v>
      </c>
      <c r="J43" t="str">
        <f t="shared" ca="1" si="10"/>
        <v>Yes</v>
      </c>
      <c r="K43" t="str">
        <f t="shared" ca="1" si="2"/>
        <v>No</v>
      </c>
      <c r="L43" t="str">
        <f>IF(
ISNUMBER(
MATCH(
G43,
tblHighRiskCountries[Country],
0)),
"Yes",
"No")</f>
        <v>No</v>
      </c>
      <c r="M43" t="str">
        <f t="shared" ca="1" si="11"/>
        <v>No</v>
      </c>
      <c r="N43" t="str">
        <f ca="1">_xlfn.IFS(J43="Yes","Alert",K43="Yes","Alert",L43="Yes","Alert",M43="Yes","Alert",TRUE,"Normal")</f>
        <v>Alert</v>
      </c>
      <c r="O43">
        <f t="shared" ca="1" si="12"/>
        <v>2</v>
      </c>
      <c r="P43" t="str">
        <f t="shared" ca="1" si="8"/>
        <v>No</v>
      </c>
    </row>
    <row r="44" spans="1:16" x14ac:dyDescent="0.25">
      <c r="A44" t="str">
        <f>IF(_xlfn.XLOOKUP(DueDiligenceRegister[[#This Row],[Customer ID]], DueDiligenceRegister[Customer ID], DueDiligenceRegister[Account Status])="Open Account", DueDiligenceRegister[[#This Row],[Customer ID]], "Ineligible / Rejected")</f>
        <v>C0043</v>
      </c>
      <c r="B44" t="str">
        <f>IFERROR(
_xlfn.XLOOKUP(
A44,
tblCustomers[Customer ID],
tblCustomers[Full Name]
),
"")</f>
        <v>James Adebayo</v>
      </c>
      <c r="C44" s="2">
        <f t="shared" ca="1" si="4"/>
        <v>46130</v>
      </c>
      <c r="D44" t="s">
        <v>466</v>
      </c>
      <c r="E44">
        <f t="shared" ca="1" si="5"/>
        <v>970.73</v>
      </c>
      <c r="F44" t="str">
        <f>IFERROR(
_xlfn.XLOOKUP(
A44,
tblCustomers[Customer ID],
tblCustomers[Country]
),
"")</f>
        <v>Ghana</v>
      </c>
      <c r="G44" t="str">
        <f>IFERROR(
_xlfn.XLOOKUP(
A44,
tblCustomers[Customer ID],
tblCustomers[Delivery Channel]
),
"")</f>
        <v>Online</v>
      </c>
      <c r="H44">
        <f>IFERROR(
_xlfn.XLOOKUP(
A44,
tblCustomers[Customer ID],
tblCustomers[Annual Income (USD)]
),
0)</f>
        <v>1425023</v>
      </c>
      <c r="I44">
        <f t="shared" ca="1" si="9"/>
        <v>0</v>
      </c>
      <c r="J44" t="str">
        <f t="shared" ca="1" si="10"/>
        <v>No</v>
      </c>
      <c r="K44" t="str">
        <f t="shared" ca="1" si="2"/>
        <v>No</v>
      </c>
      <c r="L44" t="str">
        <f>IF(
ISNUMBER(
MATCH(
G44,
tblHighRiskCountries[Country],
0)),
"Yes",
"No")</f>
        <v>No</v>
      </c>
      <c r="M44" t="str">
        <f t="shared" ca="1" si="11"/>
        <v>No</v>
      </c>
      <c r="N44" t="str">
        <f t="shared" ca="1" si="6"/>
        <v>Normal</v>
      </c>
      <c r="O44">
        <f t="shared" ca="1" si="12"/>
        <v>1</v>
      </c>
      <c r="P44" t="str">
        <f t="shared" ca="1" si="8"/>
        <v>No</v>
      </c>
    </row>
    <row r="45" spans="1:16" x14ac:dyDescent="0.25">
      <c r="A45" t="str">
        <f>IF(_xlfn.XLOOKUP(DueDiligenceRegister[[#This Row],[Customer ID]], DueDiligenceRegister[Customer ID], DueDiligenceRegister[Account Status])="Open Account", DueDiligenceRegister[[#This Row],[Customer ID]], "Ineligible / Rejected")</f>
        <v>C0044</v>
      </c>
      <c r="B45" t="str">
        <f>IFERROR(
_xlfn.XLOOKUP(
A45,
tblCustomers[Customer ID],
tblCustomers[Full Name]
),
"")</f>
        <v>Ruth Mohammed</v>
      </c>
      <c r="C45" s="2">
        <f t="shared" ca="1" si="4"/>
        <v>46129</v>
      </c>
      <c r="D45" t="s">
        <v>466</v>
      </c>
      <c r="E45">
        <f t="shared" ca="1" si="5"/>
        <v>2623.25</v>
      </c>
      <c r="F45" t="str">
        <f>IFERROR(
_xlfn.XLOOKUP(
A45,
tblCustomers[Customer ID],
tblCustomers[Country]
),
"")</f>
        <v>Nigeria</v>
      </c>
      <c r="G45" t="str">
        <f>IFERROR(
_xlfn.XLOOKUP(
A45,
tblCustomers[Customer ID],
tblCustomers[Delivery Channel]
),
"")</f>
        <v>Branch</v>
      </c>
      <c r="H45">
        <f>IFERROR(
_xlfn.XLOOKUP(
A45,
tblCustomers[Customer ID],
tblCustomers[Annual Income (USD)]
),
0)</f>
        <v>4959327</v>
      </c>
      <c r="I45">
        <f t="shared" ca="1" si="9"/>
        <v>0</v>
      </c>
      <c r="J45" t="str">
        <f t="shared" ca="1" si="10"/>
        <v>No</v>
      </c>
      <c r="K45" t="str">
        <f t="shared" ca="1" si="2"/>
        <v>No</v>
      </c>
      <c r="L45" t="str">
        <f>IF(
ISNUMBER(
MATCH(
G45,
tblHighRiskCountries[Country],
0)),
"Yes",
"No")</f>
        <v>No</v>
      </c>
      <c r="M45" t="str">
        <f t="shared" ca="1" si="11"/>
        <v>No</v>
      </c>
      <c r="N45" t="str">
        <f t="shared" ca="1" si="6"/>
        <v>Normal</v>
      </c>
      <c r="O45">
        <f t="shared" ca="1" si="12"/>
        <v>1</v>
      </c>
      <c r="P45" t="str">
        <f t="shared" ca="1" si="8"/>
        <v>No</v>
      </c>
    </row>
    <row r="46" spans="1:16" x14ac:dyDescent="0.25">
      <c r="A46" t="str">
        <f>IF(_xlfn.XLOOKUP(DueDiligenceRegister[[#This Row],[Customer ID]], DueDiligenceRegister[Customer ID], DueDiligenceRegister[Account Status])="Open Account", DueDiligenceRegister[[#This Row],[Customer ID]], "Ineligible / Rejected")</f>
        <v>C0045</v>
      </c>
      <c r="B46" t="str">
        <f>IFERROR(
_xlfn.XLOOKUP(
A46,
tblCustomers[Customer ID],
tblCustomers[Full Name]
),
"")</f>
        <v>Ibrahim Osei</v>
      </c>
      <c r="C46" s="2">
        <f t="shared" ca="1" si="4"/>
        <v>46115</v>
      </c>
      <c r="D46" t="s">
        <v>466</v>
      </c>
      <c r="E46">
        <f t="shared" ca="1" si="5"/>
        <v>2130.62</v>
      </c>
      <c r="F46" t="str">
        <f>IFERROR(
_xlfn.XLOOKUP(
A46,
tblCustomers[Customer ID],
tblCustomers[Country]
),
"")</f>
        <v>Ghana</v>
      </c>
      <c r="G46" t="str">
        <f>IFERROR(
_xlfn.XLOOKUP(
A46,
tblCustomers[Customer ID],
tblCustomers[Delivery Channel]
),
"")</f>
        <v>Online</v>
      </c>
      <c r="H46">
        <f>IFERROR(
_xlfn.XLOOKUP(
A46,
tblCustomers[Customer ID],
tblCustomers[Annual Income (USD)]
),
0)</f>
        <v>159892</v>
      </c>
      <c r="I46">
        <f t="shared" ca="1" si="9"/>
        <v>0</v>
      </c>
      <c r="J46" t="str">
        <f t="shared" ca="1" si="10"/>
        <v>No</v>
      </c>
      <c r="K46" t="str">
        <f t="shared" ca="1" si="2"/>
        <v>No</v>
      </c>
      <c r="L46" t="str">
        <f>IF(
ISNUMBER(
MATCH(
G46,
tblHighRiskCountries[Country],
0)),
"Yes",
"No")</f>
        <v>No</v>
      </c>
      <c r="M46" t="str">
        <f t="shared" ca="1" si="11"/>
        <v>No</v>
      </c>
      <c r="N46" t="str">
        <f t="shared" ca="1" si="6"/>
        <v>Normal</v>
      </c>
      <c r="O46">
        <f t="shared" ca="1" si="12"/>
        <v>1</v>
      </c>
      <c r="P46" t="str">
        <f t="shared" ca="1" si="8"/>
        <v>No</v>
      </c>
    </row>
    <row r="47" spans="1:16" x14ac:dyDescent="0.25">
      <c r="A47" t="str">
        <f>IF(_xlfn.XLOOKUP(DueDiligenceRegister[[#This Row],[Customer ID]], DueDiligenceRegister[Customer ID], DueDiligenceRegister[Account Status])="Open Account", DueDiligenceRegister[[#This Row],[Customer ID]], "Ineligible / Rejected")</f>
        <v>C0046</v>
      </c>
      <c r="B47" t="str">
        <f>IFERROR(
_xlfn.XLOOKUP(
A47,
tblCustomers[Customer ID],
tblCustomers[Full Name]
),
"")</f>
        <v>Ibrahim Adebayo</v>
      </c>
      <c r="C47" s="2">
        <f t="shared" ca="1" si="4"/>
        <v>46185</v>
      </c>
      <c r="D47" t="s">
        <v>466</v>
      </c>
      <c r="E47">
        <f t="shared" ca="1" si="5"/>
        <v>11093.93</v>
      </c>
      <c r="F47" t="str">
        <f>IFERROR(
_xlfn.XLOOKUP(
A47,
tblCustomers[Customer ID],
tblCustomers[Country]
),
"")</f>
        <v>Kenya</v>
      </c>
      <c r="G47" t="str">
        <f>IFERROR(
_xlfn.XLOOKUP(
A47,
tblCustomers[Customer ID],
tblCustomers[Delivery Channel]
),
"")</f>
        <v>Online</v>
      </c>
      <c r="H47">
        <f>IFERROR(
_xlfn.XLOOKUP(
A47,
tblCustomers[Customer ID],
tblCustomers[Annual Income (USD)]
),
0)</f>
        <v>4572623</v>
      </c>
      <c r="I47">
        <f t="shared" ca="1" si="9"/>
        <v>0</v>
      </c>
      <c r="J47" t="str">
        <f t="shared" ca="1" si="10"/>
        <v>No</v>
      </c>
      <c r="K47" t="str">
        <f t="shared" ca="1" si="2"/>
        <v>No</v>
      </c>
      <c r="L47" t="str">
        <f>IF(
ISNUMBER(
MATCH(
G47,
tblHighRiskCountries[Country],
0)),
"Yes",
"No")</f>
        <v>No</v>
      </c>
      <c r="M47" t="str">
        <f t="shared" ca="1" si="11"/>
        <v>No</v>
      </c>
      <c r="N47" t="str">
        <f t="shared" ca="1" si="6"/>
        <v>Normal</v>
      </c>
      <c r="O47">
        <f t="shared" ca="1" si="12"/>
        <v>1</v>
      </c>
      <c r="P47" t="str">
        <f t="shared" ca="1" si="8"/>
        <v>No</v>
      </c>
    </row>
    <row r="48" spans="1:16" x14ac:dyDescent="0.25">
      <c r="A48" t="str">
        <f>IF(_xlfn.XLOOKUP(DueDiligenceRegister[[#This Row],[Customer ID]], DueDiligenceRegister[Customer ID], DueDiligenceRegister[Account Status])="Open Account", DueDiligenceRegister[[#This Row],[Customer ID]], "Ineligible / Rejected")</f>
        <v>C0047</v>
      </c>
      <c r="B48" t="str">
        <f>IFERROR(
_xlfn.XLOOKUP(
A48,
tblCustomers[Customer ID],
tblCustomers[Full Name]
),
"")</f>
        <v>Ahmed Mensah</v>
      </c>
      <c r="C48" s="2">
        <f t="shared" ca="1" si="4"/>
        <v>46129</v>
      </c>
      <c r="D48" t="s">
        <v>466</v>
      </c>
      <c r="E48">
        <f t="shared" ca="1" si="5"/>
        <v>10394.700000000001</v>
      </c>
      <c r="F48" t="str">
        <f>IFERROR(
_xlfn.XLOOKUP(
A48,
tblCustomers[Customer ID],
tblCustomers[Country]
),
"")</f>
        <v>Canada</v>
      </c>
      <c r="G48" t="str">
        <f>IFERROR(
_xlfn.XLOOKUP(
A48,
tblCustomers[Customer ID],
tblCustomers[Delivery Channel]
),
"")</f>
        <v>Branch</v>
      </c>
      <c r="H48">
        <f>IFERROR(
_xlfn.XLOOKUP(
A48,
tblCustomers[Customer ID],
tblCustomers[Annual Income (USD)]
),
0)</f>
        <v>1463445</v>
      </c>
      <c r="I48">
        <f t="shared" ca="1" si="9"/>
        <v>0</v>
      </c>
      <c r="J48" t="str">
        <f t="shared" ca="1" si="10"/>
        <v>No</v>
      </c>
      <c r="K48" t="str">
        <f t="shared" ca="1" si="2"/>
        <v>No</v>
      </c>
      <c r="L48" t="str">
        <f>IF(
ISNUMBER(
MATCH(
G48,
tblHighRiskCountries[Country],
0)),
"Yes",
"No")</f>
        <v>No</v>
      </c>
      <c r="M48" t="str">
        <f t="shared" ca="1" si="11"/>
        <v>No</v>
      </c>
      <c r="N48" t="str">
        <f t="shared" ca="1" si="6"/>
        <v>Normal</v>
      </c>
      <c r="O48">
        <f t="shared" ca="1" si="12"/>
        <v>1</v>
      </c>
      <c r="P48" t="str">
        <f t="shared" ca="1" si="8"/>
        <v>No</v>
      </c>
    </row>
    <row r="49" spans="1:16" x14ac:dyDescent="0.25">
      <c r="A49" t="str">
        <f>IF(_xlfn.XLOOKUP(DueDiligenceRegister[[#This Row],[Customer ID]], DueDiligenceRegister[Customer ID], DueDiligenceRegister[Account Status])="Open Account", DueDiligenceRegister[[#This Row],[Customer ID]], "Ineligible / Rejected")</f>
        <v>C0048</v>
      </c>
      <c r="B49" t="str">
        <f>IFERROR(
_xlfn.XLOOKUP(
A49,
tblCustomers[Customer ID],
tblCustomers[Full Name]
),
"")</f>
        <v>Emeka Eze</v>
      </c>
      <c r="C49" s="2">
        <f t="shared" ca="1" si="4"/>
        <v>46208</v>
      </c>
      <c r="D49" t="s">
        <v>466</v>
      </c>
      <c r="E49">
        <f t="shared" ca="1" si="5"/>
        <v>13493.69</v>
      </c>
      <c r="F49" t="str">
        <f>IFERROR(
_xlfn.XLOOKUP(
A49,
tblCustomers[Customer ID],
tblCustomers[Country]
),
"")</f>
        <v>South Africa</v>
      </c>
      <c r="G49" t="str">
        <f>IFERROR(
_xlfn.XLOOKUP(
A49,
tblCustomers[Customer ID],
tblCustomers[Delivery Channel]
),
"")</f>
        <v>Relationship Manager</v>
      </c>
      <c r="H49">
        <f>IFERROR(
_xlfn.XLOOKUP(
A49,
tblCustomers[Customer ID],
tblCustomers[Annual Income (USD)]
),
0)</f>
        <v>3116241</v>
      </c>
      <c r="I49">
        <f t="shared" ca="1" si="9"/>
        <v>1</v>
      </c>
      <c r="J49" t="str">
        <f t="shared" ca="1" si="10"/>
        <v>No</v>
      </c>
      <c r="K49" t="str">
        <f t="shared" ca="1" si="2"/>
        <v>No</v>
      </c>
      <c r="L49" t="str">
        <f>IF(
ISNUMBER(
MATCH(
G49,
tblHighRiskCountries[Country],
0)),
"Yes",
"No")</f>
        <v>No</v>
      </c>
      <c r="M49" t="str">
        <f t="shared" ca="1" si="11"/>
        <v>No</v>
      </c>
      <c r="N49" t="str">
        <f t="shared" ca="1" si="6"/>
        <v>Normal</v>
      </c>
      <c r="O49">
        <f t="shared" ca="1" si="12"/>
        <v>1</v>
      </c>
      <c r="P49" t="str">
        <f t="shared" ca="1" si="8"/>
        <v>No</v>
      </c>
    </row>
    <row r="50" spans="1:16" x14ac:dyDescent="0.25">
      <c r="A50" t="str">
        <f>IF(_xlfn.XLOOKUP(DueDiligenceRegister[[#This Row],[Customer ID]], DueDiligenceRegister[Customer ID], DueDiligenceRegister[Account Status])="Open Account", DueDiligenceRegister[[#This Row],[Customer ID]], "Ineligible / Rejected")</f>
        <v>C0049</v>
      </c>
      <c r="B50" t="str">
        <f>IFERROR(
_xlfn.XLOOKUP(
A50,
tblCustomers[Customer ID],
tblCustomers[Full Name]
),
"")</f>
        <v>Peter Smith</v>
      </c>
      <c r="C50" s="2">
        <f t="shared" ca="1" si="4"/>
        <v>46088</v>
      </c>
      <c r="D50" t="s">
        <v>466</v>
      </c>
      <c r="E50">
        <f t="shared" ca="1" si="5"/>
        <v>5684.4</v>
      </c>
      <c r="F50" t="str">
        <f>IFERROR(
_xlfn.XLOOKUP(
A50,
tblCustomers[Customer ID],
tblCustomers[Country]
),
"")</f>
        <v>Ghana</v>
      </c>
      <c r="G50" t="str">
        <f>IFERROR(
_xlfn.XLOOKUP(
A50,
tblCustomers[Customer ID],
tblCustomers[Delivery Channel]
),
"")</f>
        <v>Online</v>
      </c>
      <c r="H50">
        <f>IFERROR(
_xlfn.XLOOKUP(
A50,
tblCustomers[Customer ID],
tblCustomers[Annual Income (USD)]
),
0)</f>
        <v>4976207</v>
      </c>
      <c r="I50">
        <f t="shared" ca="1" si="9"/>
        <v>0</v>
      </c>
      <c r="J50" t="str">
        <f t="shared" ca="1" si="10"/>
        <v>No</v>
      </c>
      <c r="K50" t="str">
        <f t="shared" ca="1" si="2"/>
        <v>No</v>
      </c>
      <c r="L50" t="str">
        <f>IF(
ISNUMBER(
MATCH(
G50,
tblHighRiskCountries[Country],
0)),
"Yes",
"No")</f>
        <v>No</v>
      </c>
      <c r="M50" t="str">
        <f t="shared" ca="1" si="11"/>
        <v>No</v>
      </c>
      <c r="N50" t="str">
        <f t="shared" ca="1" si="6"/>
        <v>Normal</v>
      </c>
      <c r="O50">
        <f t="shared" ca="1" si="12"/>
        <v>1</v>
      </c>
      <c r="P50" t="str">
        <f t="shared" ca="1" si="8"/>
        <v>No</v>
      </c>
    </row>
    <row r="51" spans="1:16" x14ac:dyDescent="0.25">
      <c r="A51" t="str">
        <f>IF(_xlfn.XLOOKUP(DueDiligenceRegister[[#This Row],[Customer ID]], DueDiligenceRegister[Customer ID], DueDiligenceRegister[Account Status])="Open Account", DueDiligenceRegister[[#This Row],[Customer ID]], "Ineligible / Rejected")</f>
        <v>C0050</v>
      </c>
      <c r="B51" t="str">
        <f>IFERROR(
_xlfn.XLOOKUP(
A51,
tblCustomers[Customer ID],
tblCustomers[Full Name]
),
"")</f>
        <v>Grace Mensah</v>
      </c>
      <c r="C51" s="2">
        <f t="shared" ca="1" si="4"/>
        <v>46107</v>
      </c>
      <c r="D51" t="s">
        <v>466</v>
      </c>
      <c r="E51">
        <f t="shared" ca="1" si="5"/>
        <v>7293.31</v>
      </c>
      <c r="F51" t="str">
        <f>IFERROR(
_xlfn.XLOOKUP(
A51,
tblCustomers[Customer ID],
tblCustomers[Country]
),
"")</f>
        <v>South Africa</v>
      </c>
      <c r="G51" t="str">
        <f>IFERROR(
_xlfn.XLOOKUP(
A51,
tblCustomers[Customer ID],
tblCustomers[Delivery Channel]
),
"")</f>
        <v>Mobile App</v>
      </c>
      <c r="H51">
        <f>IFERROR(
_xlfn.XLOOKUP(
A51,
tblCustomers[Customer ID],
tblCustomers[Annual Income (USD)]
),
0)</f>
        <v>2003997</v>
      </c>
      <c r="I51">
        <f t="shared" ca="1" si="9"/>
        <v>0</v>
      </c>
      <c r="J51" t="str">
        <f t="shared" ca="1" si="10"/>
        <v>No</v>
      </c>
      <c r="K51" t="str">
        <f t="shared" ca="1" si="2"/>
        <v>No</v>
      </c>
      <c r="L51" t="str">
        <f>IF(
ISNUMBER(
MATCH(
G51,
tblHighRiskCountries[Country],
0)),
"Yes",
"No")</f>
        <v>No</v>
      </c>
      <c r="M51" t="str">
        <f t="shared" ca="1" si="11"/>
        <v>No</v>
      </c>
      <c r="N51" t="str">
        <f t="shared" ca="1" si="6"/>
        <v>Normal</v>
      </c>
      <c r="O51">
        <f t="shared" ca="1" si="12"/>
        <v>1</v>
      </c>
      <c r="P51" t="str">
        <f t="shared" ca="1" si="8"/>
        <v>No</v>
      </c>
    </row>
    <row r="52" spans="1:16" hidden="1" x14ac:dyDescent="0.25">
      <c r="A52" t="str">
        <f>IF(_xlfn.XLOOKUP(DueDiligenceRegister[[#This Row],[Customer ID]], DueDiligenceRegister[Customer ID], DueDiligenceRegister[Account Status])="Open Account", DueDiligenceRegister[[#This Row],[Customer ID]], "Ineligible / Rejected")</f>
        <v>Ineligible / Rejected</v>
      </c>
      <c r="B52" t="str">
        <f>IFERROR(
_xlfn.XLOOKUP(
A52,
tblCustomers[Customer ID],
tblCustomers[Full Name]
),
"")</f>
        <v/>
      </c>
      <c r="C52" s="2">
        <f t="shared" ca="1" si="4"/>
        <v>46209</v>
      </c>
      <c r="D52" t="s">
        <v>466</v>
      </c>
      <c r="E52">
        <f t="shared" ca="1" si="5"/>
        <v>6876.52</v>
      </c>
      <c r="F52" t="str">
        <f>IFERROR(
_xlfn.XLOOKUP(
A52,
tblCustomers[Customer ID],
tblCustomers[Country]
),
"")</f>
        <v/>
      </c>
      <c r="G52" t="str">
        <f>IFERROR(
_xlfn.XLOOKUP(
A52,
tblCustomers[Customer ID],
tblCustomers[Delivery Channel]
),
"")</f>
        <v/>
      </c>
      <c r="H52">
        <f>IFERROR(
_xlfn.XLOOKUP(
A52,
tblCustomers[Customer ID],
tblCustomers[Annual Income (USD)]
),
0)</f>
        <v>0</v>
      </c>
      <c r="I52">
        <f t="shared" ca="1" si="9"/>
        <v>6</v>
      </c>
      <c r="J52" t="str">
        <f t="shared" ca="1" si="10"/>
        <v>Yes</v>
      </c>
      <c r="K52" t="str">
        <f t="shared" ca="1" si="2"/>
        <v>No</v>
      </c>
      <c r="L52" t="str">
        <f>IF(
ISNUMBER(
MATCH(
G52,
tblHighRiskCountries[Country],
0)),
"Yes",
"No")</f>
        <v>No</v>
      </c>
      <c r="M52" t="str">
        <f t="shared" ca="1" si="11"/>
        <v>No</v>
      </c>
      <c r="N52" t="str">
        <f t="shared" ca="1" si="6"/>
        <v>Alert</v>
      </c>
      <c r="O52">
        <f t="shared" ca="1" si="12"/>
        <v>2</v>
      </c>
      <c r="P52" t="str">
        <f t="shared" ca="1" si="8"/>
        <v>No</v>
      </c>
    </row>
    <row r="53" spans="1:16" x14ac:dyDescent="0.25">
      <c r="A53" t="str">
        <f>IF(_xlfn.XLOOKUP(DueDiligenceRegister[[#This Row],[Customer ID]], DueDiligenceRegister[Customer ID], DueDiligenceRegister[Account Status])="Open Account", DueDiligenceRegister[[#This Row],[Customer ID]], "Ineligible / Rejected")</f>
        <v>C0052</v>
      </c>
      <c r="B53" t="str">
        <f>IFERROR(
_xlfn.XLOOKUP(
A53,
tblCustomers[Customer ID],
tblCustomers[Full Name]
),
"")</f>
        <v>Ahmed Adeyemi</v>
      </c>
      <c r="C53" s="2">
        <f t="shared" ca="1" si="4"/>
        <v>46094</v>
      </c>
      <c r="D53" t="s">
        <v>466</v>
      </c>
      <c r="E53">
        <f t="shared" ca="1" si="5"/>
        <v>13944.47</v>
      </c>
      <c r="F53" t="str">
        <f>IFERROR(
_xlfn.XLOOKUP(
A53,
tblCustomers[Customer ID],
tblCustomers[Country]
),
"")</f>
        <v>United States</v>
      </c>
      <c r="G53" t="str">
        <f>IFERROR(
_xlfn.XLOOKUP(
A53,
tblCustomers[Customer ID],
tblCustomers[Delivery Channel]
),
"")</f>
        <v>Mobile App</v>
      </c>
      <c r="H53">
        <f>IFERROR(
_xlfn.XLOOKUP(
A53,
tblCustomers[Customer ID],
tblCustomers[Annual Income (USD)]
),
0)</f>
        <v>2662323</v>
      </c>
      <c r="I53">
        <f t="shared" ca="1" si="9"/>
        <v>0</v>
      </c>
      <c r="J53" t="str">
        <f t="shared" ca="1" si="10"/>
        <v>No</v>
      </c>
      <c r="K53" t="str">
        <f t="shared" ca="1" si="2"/>
        <v>No</v>
      </c>
      <c r="L53" t="str">
        <f>IF(
ISNUMBER(
MATCH(
G53,
tblHighRiskCountries[Country],
0)),
"Yes",
"No")</f>
        <v>No</v>
      </c>
      <c r="M53" t="str">
        <f t="shared" ca="1" si="11"/>
        <v>No</v>
      </c>
      <c r="N53" t="str">
        <f t="shared" ca="1" si="6"/>
        <v>Normal</v>
      </c>
      <c r="O53">
        <f t="shared" ca="1" si="12"/>
        <v>1</v>
      </c>
      <c r="P53" t="str">
        <f t="shared" ca="1" si="8"/>
        <v>No</v>
      </c>
    </row>
    <row r="54" spans="1:16" x14ac:dyDescent="0.25">
      <c r="A54" t="str">
        <f>IF(_xlfn.XLOOKUP(DueDiligenceRegister[[#This Row],[Customer ID]], DueDiligenceRegister[Customer ID], DueDiligenceRegister[Account Status])="Open Account", DueDiligenceRegister[[#This Row],[Customer ID]], "Ineligible / Rejected")</f>
        <v>C0053</v>
      </c>
      <c r="B54" t="str">
        <f>IFERROR(
_xlfn.XLOOKUP(
A54,
tblCustomers[Customer ID],
tblCustomers[Full Name]
),
"")</f>
        <v>Chioma Suleiman</v>
      </c>
      <c r="C54" s="2">
        <f t="shared" ca="1" si="4"/>
        <v>46218</v>
      </c>
      <c r="D54" t="s">
        <v>466</v>
      </c>
      <c r="E54">
        <f t="shared" ca="1" si="5"/>
        <v>6022.23</v>
      </c>
      <c r="F54" t="str">
        <f>IFERROR(
_xlfn.XLOOKUP(
A54,
tblCustomers[Customer ID],
tblCustomers[Country]
),
"")</f>
        <v>Nigeria</v>
      </c>
      <c r="G54" t="str">
        <f>IFERROR(
_xlfn.XLOOKUP(
A54,
tblCustomers[Customer ID],
tblCustomers[Delivery Channel]
),
"")</f>
        <v>Online</v>
      </c>
      <c r="H54">
        <f>IFERROR(
_xlfn.XLOOKUP(
A54,
tblCustomers[Customer ID],
tblCustomers[Annual Income (USD)]
),
0)</f>
        <v>1740963</v>
      </c>
      <c r="I54">
        <f t="shared" ca="1" si="9"/>
        <v>1</v>
      </c>
      <c r="J54" t="str">
        <f t="shared" ca="1" si="10"/>
        <v>No</v>
      </c>
      <c r="K54" t="str">
        <f t="shared" ca="1" si="2"/>
        <v>No</v>
      </c>
      <c r="L54" t="str">
        <f>IF(
ISNUMBER(
MATCH(
G54,
tblHighRiskCountries[Country],
0)),
"Yes",
"No")</f>
        <v>No</v>
      </c>
      <c r="M54" t="str">
        <f t="shared" ca="1" si="11"/>
        <v>No</v>
      </c>
      <c r="N54" t="str">
        <f t="shared" ca="1" si="6"/>
        <v>Normal</v>
      </c>
      <c r="O54">
        <f t="shared" ca="1" si="12"/>
        <v>1</v>
      </c>
      <c r="P54" t="str">
        <f t="shared" ca="1" si="8"/>
        <v>No</v>
      </c>
    </row>
    <row r="55" spans="1:16" x14ac:dyDescent="0.25">
      <c r="A55" t="str">
        <f>IF(_xlfn.XLOOKUP(DueDiligenceRegister[[#This Row],[Customer ID]], DueDiligenceRegister[Customer ID], DueDiligenceRegister[Account Status])="Open Account", DueDiligenceRegister[[#This Row],[Customer ID]], "Ineligible / Rejected")</f>
        <v>C0054</v>
      </c>
      <c r="B55" t="str">
        <f>IFERROR(
_xlfn.XLOOKUP(
A55,
tblCustomers[Customer ID],
tblCustomers[Full Name]
),
"")</f>
        <v>Samuel Okeke</v>
      </c>
      <c r="C55" s="2">
        <f t="shared" ca="1" si="4"/>
        <v>46067</v>
      </c>
      <c r="D55" t="s">
        <v>466</v>
      </c>
      <c r="E55">
        <f t="shared" ca="1" si="5"/>
        <v>12100.41</v>
      </c>
      <c r="F55" t="str">
        <f>IFERROR(
_xlfn.XLOOKUP(
A55,
tblCustomers[Customer ID],
tblCustomers[Country]
),
"")</f>
        <v>Nigeria</v>
      </c>
      <c r="G55" t="str">
        <f>IFERROR(
_xlfn.XLOOKUP(
A55,
tblCustomers[Customer ID],
tblCustomers[Delivery Channel]
),
"")</f>
        <v>Online</v>
      </c>
      <c r="H55">
        <f>IFERROR(
_xlfn.XLOOKUP(
A55,
tblCustomers[Customer ID],
tblCustomers[Annual Income (USD)]
),
0)</f>
        <v>2344369</v>
      </c>
      <c r="I55">
        <f t="shared" ca="1" si="9"/>
        <v>0</v>
      </c>
      <c r="J55" t="str">
        <f t="shared" ca="1" si="10"/>
        <v>No</v>
      </c>
      <c r="K55" t="str">
        <f t="shared" ca="1" si="2"/>
        <v>No</v>
      </c>
      <c r="L55" t="str">
        <f>IF(
ISNUMBER(
MATCH(
G55,
tblHighRiskCountries[Country],
0)),
"Yes",
"No")</f>
        <v>No</v>
      </c>
      <c r="M55" t="str">
        <f t="shared" ca="1" si="11"/>
        <v>No</v>
      </c>
      <c r="N55" t="str">
        <f t="shared" ca="1" si="6"/>
        <v>Normal</v>
      </c>
      <c r="O55">
        <f t="shared" ca="1" si="12"/>
        <v>1</v>
      </c>
      <c r="P55" t="str">
        <f t="shared" ca="1" si="8"/>
        <v>No</v>
      </c>
    </row>
    <row r="56" spans="1:16" x14ac:dyDescent="0.25">
      <c r="A56" t="str">
        <f>IF(_xlfn.XLOOKUP(DueDiligenceRegister[[#This Row],[Customer ID]], DueDiligenceRegister[Customer ID], DueDiligenceRegister[Account Status])="Open Account", DueDiligenceRegister[[#This Row],[Customer ID]], "Ineligible / Rejected")</f>
        <v>C0055</v>
      </c>
      <c r="B56" t="str">
        <f>IFERROR(
_xlfn.XLOOKUP(
A56,
tblCustomers[Customer ID],
tblCustomers[Full Name]
),
"")</f>
        <v>Precious Adebayo</v>
      </c>
      <c r="C56" s="2">
        <f t="shared" ca="1" si="4"/>
        <v>46124</v>
      </c>
      <c r="D56" t="s">
        <v>466</v>
      </c>
      <c r="E56">
        <f t="shared" ca="1" si="5"/>
        <v>13900.43</v>
      </c>
      <c r="F56" t="str">
        <f>IFERROR(
_xlfn.XLOOKUP(
A56,
tblCustomers[Customer ID],
tblCustomers[Country]
),
"")</f>
        <v>United States</v>
      </c>
      <c r="G56" t="str">
        <f>IFERROR(
_xlfn.XLOOKUP(
A56,
tblCustomers[Customer ID],
tblCustomers[Delivery Channel]
),
"")</f>
        <v>Relationship Manager</v>
      </c>
      <c r="H56">
        <f>IFERROR(
_xlfn.XLOOKUP(
A56,
tblCustomers[Customer ID],
tblCustomers[Annual Income (USD)]
),
0)</f>
        <v>2054047</v>
      </c>
      <c r="I56">
        <f t="shared" ca="1" si="9"/>
        <v>0</v>
      </c>
      <c r="J56" t="str">
        <f t="shared" ca="1" si="10"/>
        <v>No</v>
      </c>
      <c r="K56" t="str">
        <f t="shared" ca="1" si="2"/>
        <v>No</v>
      </c>
      <c r="L56" t="str">
        <f>IF(
ISNUMBER(
MATCH(
G56,
tblHighRiskCountries[Country],
0)),
"Yes",
"No")</f>
        <v>No</v>
      </c>
      <c r="M56" t="str">
        <f t="shared" ca="1" si="11"/>
        <v>No</v>
      </c>
      <c r="N56" t="str">
        <f t="shared" ca="1" si="6"/>
        <v>Normal</v>
      </c>
      <c r="O56">
        <f t="shared" ca="1" si="12"/>
        <v>1</v>
      </c>
      <c r="P56" t="str">
        <f t="shared" ca="1" si="8"/>
        <v>No</v>
      </c>
    </row>
    <row r="57" spans="1:16" hidden="1" x14ac:dyDescent="0.25">
      <c r="A57" t="str">
        <f>IF(_xlfn.XLOOKUP(DueDiligenceRegister[[#This Row],[Customer ID]], DueDiligenceRegister[Customer ID], DueDiligenceRegister[Account Status])="Open Account", DueDiligenceRegister[[#This Row],[Customer ID]], "Ineligible / Rejected")</f>
        <v>Ineligible / Rejected</v>
      </c>
      <c r="B57" t="str">
        <f>IFERROR(
_xlfn.XLOOKUP(
A57,
tblCustomers[Customer ID],
tblCustomers[Full Name]
),
"")</f>
        <v/>
      </c>
      <c r="C57" s="2">
        <f t="shared" ca="1" si="4"/>
        <v>46070</v>
      </c>
      <c r="D57" t="s">
        <v>466</v>
      </c>
      <c r="E57">
        <f t="shared" ca="1" si="5"/>
        <v>2204.79</v>
      </c>
      <c r="F57" t="str">
        <f>IFERROR(
_xlfn.XLOOKUP(
A57,
tblCustomers[Customer ID],
tblCustomers[Country]
),
"")</f>
        <v/>
      </c>
      <c r="G57" t="str">
        <f>IFERROR(
_xlfn.XLOOKUP(
A57,
tblCustomers[Customer ID],
tblCustomers[Delivery Channel]
),
"")</f>
        <v/>
      </c>
      <c r="H57">
        <f>IFERROR(
_xlfn.XLOOKUP(
A57,
tblCustomers[Customer ID],
tblCustomers[Annual Income (USD)]
),
0)</f>
        <v>0</v>
      </c>
      <c r="I57">
        <f t="shared" ca="1" si="9"/>
        <v>6</v>
      </c>
      <c r="J57" t="str">
        <f t="shared" ca="1" si="10"/>
        <v>Yes</v>
      </c>
      <c r="K57" t="str">
        <f t="shared" ca="1" si="2"/>
        <v>No</v>
      </c>
      <c r="L57" t="str">
        <f>IF(
ISNUMBER(
MATCH(
G57,
tblHighRiskCountries[Country],
0)),
"Yes",
"No")</f>
        <v>No</v>
      </c>
      <c r="M57" t="str">
        <f t="shared" ca="1" si="11"/>
        <v>No</v>
      </c>
      <c r="N57" t="str">
        <f ca="1">_xlfn.IFS(J57="Yes","Alert",K57="Yes","Alert",L57="Yes","Alert",M57="Yes","Alert",TRUE,"Normal")</f>
        <v>Alert</v>
      </c>
      <c r="O57">
        <f t="shared" ca="1" si="12"/>
        <v>2</v>
      </c>
      <c r="P57" t="str">
        <f t="shared" ca="1" si="8"/>
        <v>No</v>
      </c>
    </row>
    <row r="58" spans="1:16" hidden="1" x14ac:dyDescent="0.25">
      <c r="A58" t="str">
        <f>IF(_xlfn.XLOOKUP(DueDiligenceRegister[[#This Row],[Customer ID]], DueDiligenceRegister[Customer ID], DueDiligenceRegister[Account Status])="Open Account", DueDiligenceRegister[[#This Row],[Customer ID]], "Ineligible / Rejected")</f>
        <v>Ineligible / Rejected</v>
      </c>
      <c r="B58" t="str">
        <f>IFERROR(
_xlfn.XLOOKUP(
A58,
tblCustomers[Customer ID],
tblCustomers[Full Name]
),
"")</f>
        <v/>
      </c>
      <c r="C58" s="2">
        <f t="shared" ca="1" si="4"/>
        <v>46204</v>
      </c>
      <c r="D58" t="s">
        <v>466</v>
      </c>
      <c r="E58">
        <f t="shared" ca="1" si="5"/>
        <v>14444.77</v>
      </c>
      <c r="F58" t="str">
        <f>IFERROR(
_xlfn.XLOOKUP(
A58,
tblCustomers[Customer ID],
tblCustomers[Country]
),
"")</f>
        <v/>
      </c>
      <c r="G58" t="str">
        <f>IFERROR(
_xlfn.XLOOKUP(
A58,
tblCustomers[Customer ID],
tblCustomers[Delivery Channel]
),
"")</f>
        <v/>
      </c>
      <c r="H58">
        <f>IFERROR(
_xlfn.XLOOKUP(
A58,
tblCustomers[Customer ID],
tblCustomers[Annual Income (USD)]
),
0)</f>
        <v>0</v>
      </c>
      <c r="I58">
        <f t="shared" ca="1" si="9"/>
        <v>6</v>
      </c>
      <c r="J58" t="str">
        <f t="shared" ca="1" si="10"/>
        <v>Yes</v>
      </c>
      <c r="K58" t="str">
        <f t="shared" ca="1" si="2"/>
        <v>No</v>
      </c>
      <c r="L58" t="str">
        <f>IF(
ISNUMBER(
MATCH(
G58,
tblHighRiskCountries[Country],
0)),
"Yes",
"No")</f>
        <v>No</v>
      </c>
      <c r="M58" t="str">
        <f t="shared" ca="1" si="11"/>
        <v>No</v>
      </c>
      <c r="N58" t="str">
        <f t="shared" ca="1" si="6"/>
        <v>Alert</v>
      </c>
      <c r="O58">
        <f t="shared" ca="1" si="12"/>
        <v>2</v>
      </c>
      <c r="P58" t="str">
        <f t="shared" ca="1" si="8"/>
        <v>No</v>
      </c>
    </row>
    <row r="59" spans="1:16" x14ac:dyDescent="0.25">
      <c r="A59" t="str">
        <f>IF(_xlfn.XLOOKUP(DueDiligenceRegister[[#This Row],[Customer ID]], DueDiligenceRegister[Customer ID], DueDiligenceRegister[Account Status])="Open Account", DueDiligenceRegister[[#This Row],[Customer ID]], "Ineligible / Rejected")</f>
        <v>C0058</v>
      </c>
      <c r="B59" t="str">
        <f>IFERROR(
_xlfn.XLOOKUP(
A59,
tblCustomers[Customer ID],
tblCustomers[Full Name]
),
"")</f>
        <v>Samuel Brown</v>
      </c>
      <c r="C59" s="2">
        <f t="shared" ca="1" si="4"/>
        <v>46155</v>
      </c>
      <c r="D59" t="s">
        <v>466</v>
      </c>
      <c r="E59">
        <f t="shared" ca="1" si="5"/>
        <v>15010.51</v>
      </c>
      <c r="F59" t="str">
        <f>IFERROR(
_xlfn.XLOOKUP(
A59,
tblCustomers[Customer ID],
tblCustomers[Country]
),
"")</f>
        <v>United States</v>
      </c>
      <c r="G59" t="str">
        <f>IFERROR(
_xlfn.XLOOKUP(
A59,
tblCustomers[Customer ID],
tblCustomers[Delivery Channel]
),
"")</f>
        <v>Branch</v>
      </c>
      <c r="H59">
        <f>IFERROR(
_xlfn.XLOOKUP(
A59,
tblCustomers[Customer ID],
tblCustomers[Annual Income (USD)]
),
0)</f>
        <v>2488902</v>
      </c>
      <c r="I59">
        <f t="shared" ca="1" si="9"/>
        <v>0</v>
      </c>
      <c r="J59" t="str">
        <f t="shared" ca="1" si="10"/>
        <v>No</v>
      </c>
      <c r="K59" t="str">
        <f t="shared" ca="1" si="2"/>
        <v>No</v>
      </c>
      <c r="L59" t="str">
        <f>IF(
ISNUMBER(
MATCH(
G59,
tblHighRiskCountries[Country],
0)),
"Yes",
"No")</f>
        <v>No</v>
      </c>
      <c r="M59" t="str">
        <f t="shared" ca="1" si="11"/>
        <v>No</v>
      </c>
      <c r="N59" t="str">
        <f t="shared" ca="1" si="6"/>
        <v>Normal</v>
      </c>
      <c r="O59">
        <f t="shared" ca="1" si="12"/>
        <v>1</v>
      </c>
      <c r="P59" t="str">
        <f t="shared" ca="1" si="8"/>
        <v>No</v>
      </c>
    </row>
    <row r="60" spans="1:16" hidden="1" x14ac:dyDescent="0.25">
      <c r="A60" t="str">
        <f>IF(_xlfn.XLOOKUP(DueDiligenceRegister[[#This Row],[Customer ID]], DueDiligenceRegister[Customer ID], DueDiligenceRegister[Account Status])="Open Account", DueDiligenceRegister[[#This Row],[Customer ID]], "Ineligible / Rejected")</f>
        <v>Ineligible / Rejected</v>
      </c>
      <c r="B60" t="str">
        <f>IFERROR(
_xlfn.XLOOKUP(
A60,
tblCustomers[Customer ID],
tblCustomers[Full Name]
),
"")</f>
        <v/>
      </c>
      <c r="C60" s="2">
        <f t="shared" ca="1" si="4"/>
        <v>46198</v>
      </c>
      <c r="D60" t="s">
        <v>466</v>
      </c>
      <c r="E60">
        <f t="shared" ca="1" si="5"/>
        <v>2104.12</v>
      </c>
      <c r="F60" t="str">
        <f>IFERROR(
_xlfn.XLOOKUP(
A60,
tblCustomers[Customer ID],
tblCustomers[Country]
),
"")</f>
        <v/>
      </c>
      <c r="G60" t="str">
        <f>IFERROR(
_xlfn.XLOOKUP(
A60,
tblCustomers[Customer ID],
tblCustomers[Delivery Channel]
),
"")</f>
        <v/>
      </c>
      <c r="H60">
        <f>IFERROR(
_xlfn.XLOOKUP(
A60,
tblCustomers[Customer ID],
tblCustomers[Annual Income (USD)]
),
0)</f>
        <v>0</v>
      </c>
      <c r="I60">
        <f t="shared" ca="1" si="9"/>
        <v>6</v>
      </c>
      <c r="J60" t="str">
        <f t="shared" ca="1" si="10"/>
        <v>Yes</v>
      </c>
      <c r="K60" t="str">
        <f t="shared" ca="1" si="2"/>
        <v>No</v>
      </c>
      <c r="L60" t="str">
        <f>IF(
ISNUMBER(
MATCH(
G60,
tblHighRiskCountries[Country],
0)),
"Yes",
"No")</f>
        <v>No</v>
      </c>
      <c r="M60" t="str">
        <f t="shared" ca="1" si="11"/>
        <v>No</v>
      </c>
      <c r="N60" t="str">
        <f t="shared" ca="1" si="6"/>
        <v>Alert</v>
      </c>
      <c r="O60">
        <f t="shared" ca="1" si="12"/>
        <v>2</v>
      </c>
      <c r="P60" t="str">
        <f t="shared" ca="1" si="8"/>
        <v>No</v>
      </c>
    </row>
    <row r="61" spans="1:16" x14ac:dyDescent="0.25">
      <c r="A61" t="str">
        <f>IF(_xlfn.XLOOKUP(DueDiligenceRegister[[#This Row],[Customer ID]], DueDiligenceRegister[Customer ID], DueDiligenceRegister[Account Status])="Open Account", DueDiligenceRegister[[#This Row],[Customer ID]], "Ineligible / Rejected")</f>
        <v>C0060</v>
      </c>
      <c r="B61" t="str">
        <f>IFERROR(
_xlfn.XLOOKUP(
A61,
tblCustomers[Customer ID],
tblCustomers[Full Name]
),
"")</f>
        <v>Michael Williams</v>
      </c>
      <c r="C61" s="2">
        <f t="shared" ca="1" si="4"/>
        <v>46172</v>
      </c>
      <c r="D61" t="s">
        <v>466</v>
      </c>
      <c r="E61">
        <f t="shared" ca="1" si="5"/>
        <v>6813.45</v>
      </c>
      <c r="F61" t="str">
        <f>IFERROR(
_xlfn.XLOOKUP(
A61,
tblCustomers[Customer ID],
tblCustomers[Country]
),
"")</f>
        <v>Canada</v>
      </c>
      <c r="G61" t="str">
        <f>IFERROR(
_xlfn.XLOOKUP(
A61,
tblCustomers[Customer ID],
tblCustomers[Delivery Channel]
),
"")</f>
        <v>Mobile App</v>
      </c>
      <c r="H61">
        <f>IFERROR(
_xlfn.XLOOKUP(
A61,
tblCustomers[Customer ID],
tblCustomers[Annual Income (USD)]
),
0)</f>
        <v>2435315</v>
      </c>
      <c r="I61">
        <f t="shared" ca="1" si="9"/>
        <v>0</v>
      </c>
      <c r="J61" t="str">
        <f t="shared" ca="1" si="10"/>
        <v>No</v>
      </c>
      <c r="K61" t="str">
        <f t="shared" ca="1" si="2"/>
        <v>No</v>
      </c>
      <c r="L61" t="str">
        <f>IF(
ISNUMBER(
MATCH(
G61,
tblHighRiskCountries[Country],
0)),
"Yes",
"No")</f>
        <v>No</v>
      </c>
      <c r="M61" t="str">
        <f t="shared" ca="1" si="11"/>
        <v>No</v>
      </c>
      <c r="N61" t="str">
        <f t="shared" ca="1" si="6"/>
        <v>Normal</v>
      </c>
      <c r="O61">
        <f t="shared" ca="1" si="12"/>
        <v>1</v>
      </c>
      <c r="P61" t="str">
        <f t="shared" ca="1" si="8"/>
        <v>No</v>
      </c>
    </row>
    <row r="62" spans="1:16" x14ac:dyDescent="0.25">
      <c r="A62" t="str">
        <f>IF(_xlfn.XLOOKUP(DueDiligenceRegister[[#This Row],[Customer ID]], DueDiligenceRegister[Customer ID], DueDiligenceRegister[Account Status])="Open Account", DueDiligenceRegister[[#This Row],[Customer ID]], "Ineligible / Rejected")</f>
        <v>C0061</v>
      </c>
      <c r="B62" t="str">
        <f>IFERROR(
_xlfn.XLOOKUP(
A62,
tblCustomers[Customer ID],
tblCustomers[Full Name]
),
"")</f>
        <v>Emeka Brown</v>
      </c>
      <c r="C62" s="2">
        <f t="shared" ca="1" si="4"/>
        <v>46146</v>
      </c>
      <c r="D62" t="s">
        <v>466</v>
      </c>
      <c r="E62">
        <f t="shared" ca="1" si="5"/>
        <v>9192.17</v>
      </c>
      <c r="F62" t="str">
        <f>IFERROR(
_xlfn.XLOOKUP(
A62,
tblCustomers[Customer ID],
tblCustomers[Country]
),
"")</f>
        <v>Nigeria</v>
      </c>
      <c r="G62" t="str">
        <f>IFERROR(
_xlfn.XLOOKUP(
A62,
tblCustomers[Customer ID],
tblCustomers[Delivery Channel]
),
"")</f>
        <v>Mobile App</v>
      </c>
      <c r="H62">
        <f>IFERROR(
_xlfn.XLOOKUP(
A62,
tblCustomers[Customer ID],
tblCustomers[Annual Income (USD)]
),
0)</f>
        <v>395136</v>
      </c>
      <c r="I62">
        <f t="shared" ca="1" si="9"/>
        <v>0</v>
      </c>
      <c r="J62" t="str">
        <f t="shared" ca="1" si="10"/>
        <v>No</v>
      </c>
      <c r="K62" t="str">
        <f t="shared" ca="1" si="2"/>
        <v>No</v>
      </c>
      <c r="L62" t="str">
        <f>IF(
ISNUMBER(
MATCH(
G62,
tblHighRiskCountries[Country],
0)),
"Yes",
"No")</f>
        <v>No</v>
      </c>
      <c r="M62" t="str">
        <f t="shared" ca="1" si="11"/>
        <v>No</v>
      </c>
      <c r="N62" t="str">
        <f t="shared" ca="1" si="6"/>
        <v>Normal</v>
      </c>
      <c r="O62">
        <f t="shared" ca="1" si="12"/>
        <v>1</v>
      </c>
      <c r="P62" t="str">
        <f t="shared" ca="1" si="8"/>
        <v>No</v>
      </c>
    </row>
    <row r="63" spans="1:16" x14ac:dyDescent="0.25">
      <c r="A63" t="str">
        <f>IF(_xlfn.XLOOKUP(DueDiligenceRegister[[#This Row],[Customer ID]], DueDiligenceRegister[Customer ID], DueDiligenceRegister[Account Status])="Open Account", DueDiligenceRegister[[#This Row],[Customer ID]], "Ineligible / Rejected")</f>
        <v>C0062</v>
      </c>
      <c r="B63" t="str">
        <f>IFERROR(
_xlfn.XLOOKUP(
A63,
tblCustomers[Customer ID],
tblCustomers[Full Name]
),
"")</f>
        <v>Tunde Johnson</v>
      </c>
      <c r="C63" s="2">
        <f t="shared" ca="1" si="4"/>
        <v>46080</v>
      </c>
      <c r="D63" t="s">
        <v>466</v>
      </c>
      <c r="E63">
        <f t="shared" ca="1" si="5"/>
        <v>12828.51</v>
      </c>
      <c r="F63" t="str">
        <f>IFERROR(
_xlfn.XLOOKUP(
A63,
tblCustomers[Customer ID],
tblCustomers[Country]
),
"")</f>
        <v>Ghana</v>
      </c>
      <c r="G63" t="str">
        <f>IFERROR(
_xlfn.XLOOKUP(
A63,
tblCustomers[Customer ID],
tblCustomers[Delivery Channel]
),
"")</f>
        <v>Relationship Manager</v>
      </c>
      <c r="H63">
        <f>IFERROR(
_xlfn.XLOOKUP(
A63,
tblCustomers[Customer ID],
tblCustomers[Annual Income (USD)]
),
0)</f>
        <v>3810173</v>
      </c>
      <c r="I63">
        <f t="shared" ca="1" si="9"/>
        <v>0</v>
      </c>
      <c r="J63" t="str">
        <f t="shared" ca="1" si="10"/>
        <v>No</v>
      </c>
      <c r="K63" t="str">
        <f t="shared" ca="1" si="2"/>
        <v>No</v>
      </c>
      <c r="L63" t="str">
        <f>IF(
ISNUMBER(
MATCH(
G63,
tblHighRiskCountries[Country],
0)),
"Yes",
"No")</f>
        <v>No</v>
      </c>
      <c r="M63" t="str">
        <f t="shared" ca="1" si="11"/>
        <v>No</v>
      </c>
      <c r="N63" t="str">
        <f t="shared" ca="1" si="6"/>
        <v>Normal</v>
      </c>
      <c r="O63">
        <f t="shared" ca="1" si="12"/>
        <v>1</v>
      </c>
      <c r="P63" t="str">
        <f t="shared" ca="1" si="8"/>
        <v>No</v>
      </c>
    </row>
    <row r="64" spans="1:16" x14ac:dyDescent="0.25">
      <c r="A64" t="str">
        <f>IF(_xlfn.XLOOKUP(DueDiligenceRegister[[#This Row],[Customer ID]], DueDiligenceRegister[Customer ID], DueDiligenceRegister[Account Status])="Open Account", DueDiligenceRegister[[#This Row],[Customer ID]], "Ineligible / Rejected")</f>
        <v>C0063</v>
      </c>
      <c r="B64" t="str">
        <f>IFERROR(
_xlfn.XLOOKUP(
A64,
tblCustomers[Customer ID],
tblCustomers[Full Name]
),
"")</f>
        <v>Ruth Obi</v>
      </c>
      <c r="C64" s="2">
        <f t="shared" ca="1" si="4"/>
        <v>46224</v>
      </c>
      <c r="D64" t="s">
        <v>466</v>
      </c>
      <c r="E64">
        <f t="shared" ca="1" si="5"/>
        <v>243.69</v>
      </c>
      <c r="F64" t="str">
        <f>IFERROR(
_xlfn.XLOOKUP(
A64,
tblCustomers[Customer ID],
tblCustomers[Country]
),
"")</f>
        <v>UAE</v>
      </c>
      <c r="G64" t="str">
        <f>IFERROR(
_xlfn.XLOOKUP(
A64,
tblCustomers[Customer ID],
tblCustomers[Delivery Channel]
),
"")</f>
        <v>Online</v>
      </c>
      <c r="H64">
        <f>IFERROR(
_xlfn.XLOOKUP(
A64,
tblCustomers[Customer ID],
tblCustomers[Annual Income (USD)]
),
0)</f>
        <v>3414663</v>
      </c>
      <c r="I64">
        <f t="shared" ca="1" si="9"/>
        <v>1</v>
      </c>
      <c r="J64" t="str">
        <f t="shared" ca="1" si="10"/>
        <v>No</v>
      </c>
      <c r="K64" t="str">
        <f t="shared" ca="1" si="2"/>
        <v>No</v>
      </c>
      <c r="L64" t="str">
        <f>IF(
ISNUMBER(
MATCH(
G64,
tblHighRiskCountries[Country],
0)),
"Yes",
"No")</f>
        <v>No</v>
      </c>
      <c r="M64" t="str">
        <f t="shared" ca="1" si="11"/>
        <v>No</v>
      </c>
      <c r="N64" t="str">
        <f t="shared" ca="1" si="6"/>
        <v>Normal</v>
      </c>
      <c r="O64">
        <f t="shared" ca="1" si="12"/>
        <v>1</v>
      </c>
      <c r="P64" t="str">
        <f t="shared" ca="1" si="8"/>
        <v>No</v>
      </c>
    </row>
    <row r="65" spans="1:16" x14ac:dyDescent="0.25">
      <c r="A65" t="str">
        <f>IF(_xlfn.XLOOKUP(DueDiligenceRegister[[#This Row],[Customer ID]], DueDiligenceRegister[Customer ID], DueDiligenceRegister[Account Status])="Open Account", DueDiligenceRegister[[#This Row],[Customer ID]], "Ineligible / Rejected")</f>
        <v>C0064</v>
      </c>
      <c r="B65" t="str">
        <f>IFERROR(
_xlfn.XLOOKUP(
A65,
tblCustomers[Customer ID],
tblCustomers[Full Name]
),
"")</f>
        <v>Mary Smith</v>
      </c>
      <c r="C65" s="2">
        <f t="shared" ca="1" si="4"/>
        <v>46069</v>
      </c>
      <c r="D65" t="s">
        <v>466</v>
      </c>
      <c r="E65">
        <f t="shared" ca="1" si="5"/>
        <v>11941.29</v>
      </c>
      <c r="F65" t="str">
        <f>IFERROR(
_xlfn.XLOOKUP(
A65,
tblCustomers[Customer ID],
tblCustomers[Country]
),
"")</f>
        <v>United Kingdom</v>
      </c>
      <c r="G65" t="str">
        <f>IFERROR(
_xlfn.XLOOKUP(
A65,
tblCustomers[Customer ID],
tblCustomers[Delivery Channel]
),
"")</f>
        <v>Mobile App</v>
      </c>
      <c r="H65">
        <f>IFERROR(
_xlfn.XLOOKUP(
A65,
tblCustomers[Customer ID],
tblCustomers[Annual Income (USD)]
),
0)</f>
        <v>1531481</v>
      </c>
      <c r="I65">
        <f t="shared" ca="1" si="9"/>
        <v>0</v>
      </c>
      <c r="J65" t="str">
        <f t="shared" ca="1" si="10"/>
        <v>No</v>
      </c>
      <c r="K65" t="str">
        <f t="shared" ca="1" si="2"/>
        <v>No</v>
      </c>
      <c r="L65" t="str">
        <f>IF(
ISNUMBER(
MATCH(
G65,
tblHighRiskCountries[Country],
0)),
"Yes",
"No")</f>
        <v>No</v>
      </c>
      <c r="M65" t="str">
        <f t="shared" ca="1" si="11"/>
        <v>No</v>
      </c>
      <c r="N65" t="str">
        <f t="shared" ca="1" si="6"/>
        <v>Normal</v>
      </c>
      <c r="O65">
        <f t="shared" ca="1" si="12"/>
        <v>1</v>
      </c>
      <c r="P65" t="str">
        <f t="shared" ca="1" si="8"/>
        <v>No</v>
      </c>
    </row>
    <row r="66" spans="1:16" x14ac:dyDescent="0.25">
      <c r="A66" t="str">
        <f>IF(_xlfn.XLOOKUP(DueDiligenceRegister[[#This Row],[Customer ID]], DueDiligenceRegister[Customer ID], DueDiligenceRegister[Account Status])="Open Account", DueDiligenceRegister[[#This Row],[Customer ID]], "Ineligible / Rejected")</f>
        <v>C0065</v>
      </c>
      <c r="B66" t="str">
        <f>IFERROR(
_xlfn.XLOOKUP(
A66,
tblCustomers[Customer ID],
tblCustomers[Full Name]
),
"")</f>
        <v>Ruth Adebayo</v>
      </c>
      <c r="C66" s="2">
        <f t="shared" ca="1" si="4"/>
        <v>46105</v>
      </c>
      <c r="D66" t="s">
        <v>466</v>
      </c>
      <c r="E66">
        <f t="shared" ca="1" si="5"/>
        <v>6927.53</v>
      </c>
      <c r="F66" t="str">
        <f>IFERROR(
_xlfn.XLOOKUP(
A66,
tblCustomers[Customer ID],
tblCustomers[Country]
),
"")</f>
        <v>United States</v>
      </c>
      <c r="G66" t="str">
        <f>IFERROR(
_xlfn.XLOOKUP(
A66,
tblCustomers[Customer ID],
tblCustomers[Delivery Channel]
),
"")</f>
        <v>Relationship Manager</v>
      </c>
      <c r="H66">
        <f>IFERROR(
_xlfn.XLOOKUP(
A66,
tblCustomers[Customer ID],
tblCustomers[Annual Income (USD)]
),
0)</f>
        <v>2650871</v>
      </c>
      <c r="I66">
        <f t="shared" ref="I66:I101" ca="1" si="13">COUNTIFS(A:A,A66,C:C,"&gt;="&amp;TODAY()-30)</f>
        <v>0</v>
      </c>
      <c r="J66" t="str">
        <f t="shared" ref="J66:J101" ca="1" si="14">IF(E66&gt;=H66*0.25,"Yes","No")</f>
        <v>No</v>
      </c>
      <c r="K66" t="str">
        <f t="shared" ref="K66:K101" ca="1" si="15">IF(I66&gt;15,"Yes","No")</f>
        <v>No</v>
      </c>
      <c r="L66" t="str">
        <f>IF(
ISNUMBER(
MATCH(
G66,
tblHighRiskCountries[Country],
0)),
"Yes",
"No")</f>
        <v>No</v>
      </c>
      <c r="M66" t="str">
        <f t="shared" ref="M66:M101" ca="1" si="16">IF(COUNTIFS(A:A,A66,E:E,"&gt;=9000",E:E,"&lt;=9999")&gt;=5,"Yes","No")</f>
        <v>No</v>
      </c>
      <c r="N66" t="str">
        <f t="shared" ca="1" si="6"/>
        <v>Normal</v>
      </c>
      <c r="O66">
        <f t="shared" ca="1" si="12"/>
        <v>1</v>
      </c>
      <c r="P66" t="str">
        <f t="shared" ref="P66:P101" ca="1" si="17">IF(O66&gt;=4,"Yes","No")</f>
        <v>No</v>
      </c>
    </row>
    <row r="67" spans="1:16" hidden="1" x14ac:dyDescent="0.25">
      <c r="A67" t="str">
        <f>IF(_xlfn.XLOOKUP(DueDiligenceRegister[[#This Row],[Customer ID]], DueDiligenceRegister[Customer ID], DueDiligenceRegister[Account Status])="Open Account", DueDiligenceRegister[[#This Row],[Customer ID]], "Ineligible / Rejected")</f>
        <v>Ineligible / Rejected</v>
      </c>
      <c r="B67" t="str">
        <f>IFERROR(
_xlfn.XLOOKUP(
A67,
tblCustomers[Customer ID],
tblCustomers[Full Name]
),
"")</f>
        <v/>
      </c>
      <c r="C67" s="2">
        <f t="shared" ref="C67:C101" ca="1" si="18">TODAY()-RANDBETWEEN(0,180)</f>
        <v>46177</v>
      </c>
      <c r="D67" t="s">
        <v>466</v>
      </c>
      <c r="E67">
        <f t="shared" ref="E67:E101" ca="1" si="19">ROUND(RAND()*15000+50,2)</f>
        <v>7221.08</v>
      </c>
      <c r="F67" t="str">
        <f>IFERROR(
_xlfn.XLOOKUP(
A67,
tblCustomers[Customer ID],
tblCustomers[Country]
),
"")</f>
        <v/>
      </c>
      <c r="G67" t="str">
        <f>IFERROR(
_xlfn.XLOOKUP(
A67,
tblCustomers[Customer ID],
tblCustomers[Delivery Channel]
),
"")</f>
        <v/>
      </c>
      <c r="H67">
        <f>IFERROR(
_xlfn.XLOOKUP(
A67,
tblCustomers[Customer ID],
tblCustomers[Annual Income (USD)]
),
0)</f>
        <v>0</v>
      </c>
      <c r="I67">
        <f t="shared" ca="1" si="13"/>
        <v>6</v>
      </c>
      <c r="J67" t="str">
        <f t="shared" ca="1" si="14"/>
        <v>Yes</v>
      </c>
      <c r="K67" t="str">
        <f t="shared" ca="1" si="15"/>
        <v>No</v>
      </c>
      <c r="L67" t="str">
        <f>IF(
ISNUMBER(
MATCH(
G67,
tblHighRiskCountries[Country],
0)),
"Yes",
"No")</f>
        <v>No</v>
      </c>
      <c r="M67" t="str">
        <f t="shared" ca="1" si="16"/>
        <v>No</v>
      </c>
      <c r="N67" t="str">
        <f t="shared" ref="N67:N101" ca="1" si="20">_xlfn.IFS(J67="Yes","Alert",K67="Yes","Alert",L67="Yes","Alert",M67="Yes","Alert",TRUE,"Normal")</f>
        <v>Alert</v>
      </c>
      <c r="O67">
        <f t="shared" ref="O67:O97" ca="1" si="21">_xlfn.IFS(N67="Normal",1,AND(J67="Yes",K67="No"),2,AND(K67="Yes",J67="No"),3,AND(J67="Yes",K67="Yes"),4,OR(L67="Yes",M67="Yes"),5)</f>
        <v>2</v>
      </c>
      <c r="P67" t="str">
        <f t="shared" ca="1" si="17"/>
        <v>No</v>
      </c>
    </row>
    <row r="68" spans="1:16" x14ac:dyDescent="0.25">
      <c r="A68" t="str">
        <f>IF(_xlfn.XLOOKUP(DueDiligenceRegister[[#This Row],[Customer ID]], DueDiligenceRegister[Customer ID], DueDiligenceRegister[Account Status])="Open Account", DueDiligenceRegister[[#This Row],[Customer ID]], "Ineligible / Rejected")</f>
        <v>C0067</v>
      </c>
      <c r="B68" t="str">
        <f>IFERROR(
_xlfn.XLOOKUP(
A68,
tblCustomers[Customer ID],
tblCustomers[Full Name]
),
"")</f>
        <v>Michael Ali</v>
      </c>
      <c r="C68" s="2">
        <f t="shared" ca="1" si="18"/>
        <v>46117</v>
      </c>
      <c r="D68" t="s">
        <v>466</v>
      </c>
      <c r="E68">
        <f t="shared" ca="1" si="19"/>
        <v>9705.9500000000007</v>
      </c>
      <c r="F68" t="str">
        <f>IFERROR(
_xlfn.XLOOKUP(
A68,
tblCustomers[Customer ID],
tblCustomers[Country]
),
"")</f>
        <v>United States</v>
      </c>
      <c r="G68" t="str">
        <f>IFERROR(
_xlfn.XLOOKUP(
A68,
tblCustomers[Customer ID],
tblCustomers[Delivery Channel]
),
"")</f>
        <v>Branch</v>
      </c>
      <c r="H68">
        <f>IFERROR(
_xlfn.XLOOKUP(
A68,
tblCustomers[Customer ID],
tblCustomers[Annual Income (USD)]
),
0)</f>
        <v>1422617</v>
      </c>
      <c r="I68">
        <f t="shared" ca="1" si="13"/>
        <v>0</v>
      </c>
      <c r="J68" t="str">
        <f t="shared" ca="1" si="14"/>
        <v>No</v>
      </c>
      <c r="K68" t="str">
        <f t="shared" ca="1" si="15"/>
        <v>No</v>
      </c>
      <c r="L68" t="str">
        <f>IF(
ISNUMBER(
MATCH(
G68,
tblHighRiskCountries[Country],
0)),
"Yes",
"No")</f>
        <v>No</v>
      </c>
      <c r="M68" t="str">
        <f t="shared" ca="1" si="16"/>
        <v>No</v>
      </c>
      <c r="N68" t="str">
        <f t="shared" ca="1" si="20"/>
        <v>Normal</v>
      </c>
      <c r="O68">
        <f t="shared" ca="1" si="21"/>
        <v>1</v>
      </c>
      <c r="P68" t="str">
        <f t="shared" ca="1" si="17"/>
        <v>No</v>
      </c>
    </row>
    <row r="69" spans="1:16" x14ac:dyDescent="0.25">
      <c r="A69" t="str">
        <f>IF(_xlfn.XLOOKUP(DueDiligenceRegister[[#This Row],[Customer ID]], DueDiligenceRegister[Customer ID], DueDiligenceRegister[Account Status])="Open Account", DueDiligenceRegister[[#This Row],[Customer ID]], "Ineligible / Rejected")</f>
        <v>C0068</v>
      </c>
      <c r="B69" t="str">
        <f>IFERROR(
_xlfn.XLOOKUP(
A69,
tblCustomers[Customer ID],
tblCustomers[Full Name]
),
"")</f>
        <v>Grace Adeyemi</v>
      </c>
      <c r="C69" s="2">
        <f t="shared" ca="1" si="18"/>
        <v>46107</v>
      </c>
      <c r="D69" t="s">
        <v>466</v>
      </c>
      <c r="E69">
        <f t="shared" ca="1" si="19"/>
        <v>14102.61</v>
      </c>
      <c r="F69" t="str">
        <f>IFERROR(
_xlfn.XLOOKUP(
A69,
tblCustomers[Customer ID],
tblCustomers[Country]
),
"")</f>
        <v>Nigeria</v>
      </c>
      <c r="G69" t="str">
        <f>IFERROR(
_xlfn.XLOOKUP(
A69,
tblCustomers[Customer ID],
tblCustomers[Delivery Channel]
),
"")</f>
        <v>Branch</v>
      </c>
      <c r="H69">
        <f>IFERROR(
_xlfn.XLOOKUP(
A69,
tblCustomers[Customer ID],
tblCustomers[Annual Income (USD)]
),
0)</f>
        <v>4786094</v>
      </c>
      <c r="I69">
        <f t="shared" ca="1" si="13"/>
        <v>0</v>
      </c>
      <c r="J69" t="str">
        <f t="shared" ca="1" si="14"/>
        <v>No</v>
      </c>
      <c r="K69" t="str">
        <f t="shared" ca="1" si="15"/>
        <v>No</v>
      </c>
      <c r="L69" t="str">
        <f>IF(
ISNUMBER(
MATCH(
G69,
tblHighRiskCountries[Country],
0)),
"Yes",
"No")</f>
        <v>No</v>
      </c>
      <c r="M69" t="str">
        <f t="shared" ca="1" si="16"/>
        <v>No</v>
      </c>
      <c r="N69" t="str">
        <f t="shared" ca="1" si="20"/>
        <v>Normal</v>
      </c>
      <c r="O69">
        <f t="shared" ca="1" si="21"/>
        <v>1</v>
      </c>
      <c r="P69" t="str">
        <f t="shared" ca="1" si="17"/>
        <v>No</v>
      </c>
    </row>
    <row r="70" spans="1:16" hidden="1" x14ac:dyDescent="0.25">
      <c r="A70" t="str">
        <f>IF(_xlfn.XLOOKUP(DueDiligenceRegister[[#This Row],[Customer ID]], DueDiligenceRegister[Customer ID], DueDiligenceRegister[Account Status])="Open Account", DueDiligenceRegister[[#This Row],[Customer ID]], "Ineligible / Rejected")</f>
        <v>Ineligible / Rejected</v>
      </c>
      <c r="B70" t="str">
        <f>IFERROR(
_xlfn.XLOOKUP(
A70,
tblCustomers[Customer ID],
tblCustomers[Full Name]
),
"")</f>
        <v/>
      </c>
      <c r="C70" s="2">
        <f t="shared" ca="1" si="18"/>
        <v>46212</v>
      </c>
      <c r="D70" t="s">
        <v>466</v>
      </c>
      <c r="E70">
        <f t="shared" ca="1" si="19"/>
        <v>11801.13</v>
      </c>
      <c r="F70" t="str">
        <f>IFERROR(
_xlfn.XLOOKUP(
A70,
tblCustomers[Customer ID],
tblCustomers[Country]
),
"")</f>
        <v/>
      </c>
      <c r="G70" t="str">
        <f>IFERROR(
_xlfn.XLOOKUP(
A70,
tblCustomers[Customer ID],
tblCustomers[Delivery Channel]
),
"")</f>
        <v/>
      </c>
      <c r="H70">
        <f>IFERROR(
_xlfn.XLOOKUP(
A70,
tblCustomers[Customer ID],
tblCustomers[Annual Income (USD)]
),
0)</f>
        <v>0</v>
      </c>
      <c r="I70">
        <f t="shared" ca="1" si="13"/>
        <v>6</v>
      </c>
      <c r="J70" t="str">
        <f t="shared" ca="1" si="14"/>
        <v>Yes</v>
      </c>
      <c r="K70" t="str">
        <f t="shared" ca="1" si="15"/>
        <v>No</v>
      </c>
      <c r="L70" t="str">
        <f>IF(
ISNUMBER(
MATCH(
G70,
tblHighRiskCountries[Country],
0)),
"Yes",
"No")</f>
        <v>No</v>
      </c>
      <c r="M70" t="str">
        <f t="shared" ca="1" si="16"/>
        <v>No</v>
      </c>
      <c r="N70" t="str">
        <f t="shared" ca="1" si="20"/>
        <v>Alert</v>
      </c>
      <c r="O70">
        <f t="shared" ca="1" si="21"/>
        <v>2</v>
      </c>
      <c r="P70" t="str">
        <f t="shared" ca="1" si="17"/>
        <v>No</v>
      </c>
    </row>
    <row r="71" spans="1:16" x14ac:dyDescent="0.25">
      <c r="A71" t="str">
        <f>IF(_xlfn.XLOOKUP(DueDiligenceRegister[[#This Row],[Customer ID]], DueDiligenceRegister[Customer ID], DueDiligenceRegister[Account Status])="Open Account", DueDiligenceRegister[[#This Row],[Customer ID]], "Ineligible / Rejected")</f>
        <v>C0070</v>
      </c>
      <c r="B71" t="str">
        <f>IFERROR(
_xlfn.XLOOKUP(
A71,
tblCustomers[Customer ID],
tblCustomers[Full Name]
),
"")</f>
        <v>Ibrahim Suleiman</v>
      </c>
      <c r="C71" s="2">
        <f t="shared" ca="1" si="18"/>
        <v>46128</v>
      </c>
      <c r="D71" t="s">
        <v>466</v>
      </c>
      <c r="E71">
        <f t="shared" ca="1" si="19"/>
        <v>1090.42</v>
      </c>
      <c r="F71" t="str">
        <f>IFERROR(
_xlfn.XLOOKUP(
A71,
tblCustomers[Customer ID],
tblCustomers[Country]
),
"")</f>
        <v>Kenya</v>
      </c>
      <c r="G71" t="str">
        <f>IFERROR(
_xlfn.XLOOKUP(
A71,
tblCustomers[Customer ID],
tblCustomers[Delivery Channel]
),
"")</f>
        <v>Online</v>
      </c>
      <c r="H71">
        <f>IFERROR(
_xlfn.XLOOKUP(
A71,
tblCustomers[Customer ID],
tblCustomers[Annual Income (USD)]
),
0)</f>
        <v>4720247</v>
      </c>
      <c r="I71">
        <f t="shared" ca="1" si="13"/>
        <v>0</v>
      </c>
      <c r="J71" t="str">
        <f t="shared" ca="1" si="14"/>
        <v>No</v>
      </c>
      <c r="K71" t="str">
        <f t="shared" ca="1" si="15"/>
        <v>No</v>
      </c>
      <c r="L71" t="str">
        <f>IF(
ISNUMBER(
MATCH(
G71,
tblHighRiskCountries[Country],
0)),
"Yes",
"No")</f>
        <v>No</v>
      </c>
      <c r="M71" t="str">
        <f t="shared" ca="1" si="16"/>
        <v>No</v>
      </c>
      <c r="N71" t="str">
        <f t="shared" ca="1" si="20"/>
        <v>Normal</v>
      </c>
      <c r="O71">
        <f t="shared" ca="1" si="21"/>
        <v>1</v>
      </c>
      <c r="P71" t="str">
        <f t="shared" ca="1" si="17"/>
        <v>No</v>
      </c>
    </row>
    <row r="72" spans="1:16" x14ac:dyDescent="0.25">
      <c r="A72" t="str">
        <f>IF(_xlfn.XLOOKUP(DueDiligenceRegister[[#This Row],[Customer ID]], DueDiligenceRegister[Customer ID], DueDiligenceRegister[Account Status])="Open Account", DueDiligenceRegister[[#This Row],[Customer ID]], "Ineligible / Rejected")</f>
        <v>C0071</v>
      </c>
      <c r="B72" t="str">
        <f>IFERROR(
_xlfn.XLOOKUP(
A72,
tblCustomers[Customer ID],
tblCustomers[Full Name]
),
"")</f>
        <v>Apex Logistics Ltd</v>
      </c>
      <c r="C72" s="2">
        <f t="shared" ca="1" si="18"/>
        <v>46191</v>
      </c>
      <c r="D72" t="s">
        <v>466</v>
      </c>
      <c r="E72">
        <f t="shared" ca="1" si="19"/>
        <v>5509.11</v>
      </c>
      <c r="F72" t="str">
        <f>IFERROR(
_xlfn.XLOOKUP(
A72,
tblCustomers[Customer ID],
tblCustomers[Country]
),
"")</f>
        <v>UAE</v>
      </c>
      <c r="G72" t="str">
        <f>IFERROR(
_xlfn.XLOOKUP(
A72,
tblCustomers[Customer ID],
tblCustomers[Delivery Channel]
),
"")</f>
        <v>Relationship Manager</v>
      </c>
      <c r="H72">
        <f>IFERROR(
_xlfn.XLOOKUP(
A72,
tblCustomers[Customer ID],
tblCustomers[Annual Income (USD)]
),
0)</f>
        <v>2759515</v>
      </c>
      <c r="I72">
        <f t="shared" ca="1" si="13"/>
        <v>0</v>
      </c>
      <c r="J72" t="str">
        <f t="shared" ca="1" si="14"/>
        <v>No</v>
      </c>
      <c r="K72" t="str">
        <f t="shared" ca="1" si="15"/>
        <v>No</v>
      </c>
      <c r="L72" t="str">
        <f>IF(
ISNUMBER(
MATCH(
G72,
tblHighRiskCountries[Country],
0)),
"Yes",
"No")</f>
        <v>No</v>
      </c>
      <c r="M72" t="str">
        <f t="shared" ca="1" si="16"/>
        <v>No</v>
      </c>
      <c r="N72" t="str">
        <f t="shared" ca="1" si="20"/>
        <v>Normal</v>
      </c>
      <c r="O72">
        <f t="shared" ca="1" si="21"/>
        <v>1</v>
      </c>
      <c r="P72" t="str">
        <f t="shared" ca="1" si="17"/>
        <v>No</v>
      </c>
    </row>
    <row r="73" spans="1:16" hidden="1" x14ac:dyDescent="0.25">
      <c r="A73" t="str">
        <f>IF(_xlfn.XLOOKUP(DueDiligenceRegister[[#This Row],[Customer ID]], DueDiligenceRegister[Customer ID], DueDiligenceRegister[Account Status])="Open Account", DueDiligenceRegister[[#This Row],[Customer ID]], "Ineligible / Rejected")</f>
        <v>Ineligible / Rejected</v>
      </c>
      <c r="B73" t="str">
        <f>IFERROR(
_xlfn.XLOOKUP(
A73,
tblCustomers[Customer ID],
tblCustomers[Full Name]
),
"")</f>
        <v/>
      </c>
      <c r="C73" s="2">
        <f t="shared" ca="1" si="18"/>
        <v>46177</v>
      </c>
      <c r="D73" t="s">
        <v>466</v>
      </c>
      <c r="E73">
        <f t="shared" ca="1" si="19"/>
        <v>8595.82</v>
      </c>
      <c r="F73" t="str">
        <f>IFERROR(
_xlfn.XLOOKUP(
A73,
tblCustomers[Customer ID],
tblCustomers[Country]
),
"")</f>
        <v/>
      </c>
      <c r="G73" t="str">
        <f>IFERROR(
_xlfn.XLOOKUP(
A73,
tblCustomers[Customer ID],
tblCustomers[Delivery Channel]
),
"")</f>
        <v/>
      </c>
      <c r="H73">
        <f>IFERROR(
_xlfn.XLOOKUP(
A73,
tblCustomers[Customer ID],
tblCustomers[Annual Income (USD)]
),
0)</f>
        <v>0</v>
      </c>
      <c r="I73">
        <f t="shared" ca="1" si="13"/>
        <v>6</v>
      </c>
      <c r="J73" t="str">
        <f t="shared" ca="1" si="14"/>
        <v>Yes</v>
      </c>
      <c r="K73" t="str">
        <f t="shared" ca="1" si="15"/>
        <v>No</v>
      </c>
      <c r="L73" t="str">
        <f>IF(
ISNUMBER(
MATCH(
G73,
tblHighRiskCountries[Country],
0)),
"Yes",
"No")</f>
        <v>No</v>
      </c>
      <c r="M73" t="str">
        <f t="shared" ca="1" si="16"/>
        <v>No</v>
      </c>
      <c r="N73" t="str">
        <f t="shared" ca="1" si="20"/>
        <v>Alert</v>
      </c>
      <c r="O73">
        <f t="shared" ca="1" si="21"/>
        <v>2</v>
      </c>
      <c r="P73" t="str">
        <f t="shared" ca="1" si="17"/>
        <v>No</v>
      </c>
    </row>
    <row r="74" spans="1:16" x14ac:dyDescent="0.25">
      <c r="A74" t="str">
        <f>IF(_xlfn.XLOOKUP(DueDiligenceRegister[[#This Row],[Customer ID]], DueDiligenceRegister[Customer ID], DueDiligenceRegister[Account Status])="Open Account", DueDiligenceRegister[[#This Row],[Customer ID]], "Ineligible / Rejected")</f>
        <v>C0073</v>
      </c>
      <c r="B74" t="str">
        <f>IFERROR(
_xlfn.XLOOKUP(
A74,
tblCustomers[Customer ID],
tblCustomers[Full Name]
),
"")</f>
        <v>Green Energy Ltd</v>
      </c>
      <c r="C74" s="2">
        <f t="shared" ca="1" si="18"/>
        <v>46058</v>
      </c>
      <c r="D74" t="s">
        <v>466</v>
      </c>
      <c r="E74">
        <f t="shared" ca="1" si="19"/>
        <v>8026.78</v>
      </c>
      <c r="F74" t="str">
        <f>IFERROR(
_xlfn.XLOOKUP(
A74,
tblCustomers[Customer ID],
tblCustomers[Country]
),
"")</f>
        <v>Kenya</v>
      </c>
      <c r="G74" t="str">
        <f>IFERROR(
_xlfn.XLOOKUP(
A74,
tblCustomers[Customer ID],
tblCustomers[Delivery Channel]
),
"")</f>
        <v>Mobile App</v>
      </c>
      <c r="H74">
        <f>IFERROR(
_xlfn.XLOOKUP(
A74,
tblCustomers[Customer ID],
tblCustomers[Annual Income (USD)]
),
0)</f>
        <v>828926</v>
      </c>
      <c r="I74">
        <f t="shared" ca="1" si="13"/>
        <v>0</v>
      </c>
      <c r="J74" t="str">
        <f t="shared" ca="1" si="14"/>
        <v>No</v>
      </c>
      <c r="K74" t="str">
        <f t="shared" ca="1" si="15"/>
        <v>No</v>
      </c>
      <c r="L74" t="str">
        <f>IF(
ISNUMBER(
MATCH(
G74,
tblHighRiskCountries[Country],
0)),
"Yes",
"No")</f>
        <v>No</v>
      </c>
      <c r="M74" t="str">
        <f t="shared" ca="1" si="16"/>
        <v>No</v>
      </c>
      <c r="N74" t="str">
        <f t="shared" ca="1" si="20"/>
        <v>Normal</v>
      </c>
      <c r="O74">
        <f t="shared" ca="1" si="21"/>
        <v>1</v>
      </c>
      <c r="P74" t="str">
        <f t="shared" ca="1" si="17"/>
        <v>No</v>
      </c>
    </row>
    <row r="75" spans="1:16" x14ac:dyDescent="0.25">
      <c r="A75" t="str">
        <f>IF(_xlfn.XLOOKUP(DueDiligenceRegister[[#This Row],[Customer ID]], DueDiligenceRegister[Customer ID], DueDiligenceRegister[Account Status])="Open Account", DueDiligenceRegister[[#This Row],[Customer ID]], "Ineligible / Rejected")</f>
        <v>C0074</v>
      </c>
      <c r="B75" t="str">
        <f>IFERROR(
_xlfn.XLOOKUP(
A75,
tblCustomers[Customer ID],
tblCustomers[Full Name]
),
"")</f>
        <v>Prime Logistics Ltd</v>
      </c>
      <c r="C75" s="2">
        <f t="shared" ca="1" si="18"/>
        <v>46227</v>
      </c>
      <c r="D75" t="s">
        <v>466</v>
      </c>
      <c r="E75">
        <f t="shared" ca="1" si="19"/>
        <v>5409.86</v>
      </c>
      <c r="F75" t="str">
        <f>IFERROR(
_xlfn.XLOOKUP(
A75,
tblCustomers[Customer ID],
tblCustomers[Country]
),
"")</f>
        <v>South Africa</v>
      </c>
      <c r="G75" t="str">
        <f>IFERROR(
_xlfn.XLOOKUP(
A75,
tblCustomers[Customer ID],
tblCustomers[Delivery Channel]
),
"")</f>
        <v>Branch</v>
      </c>
      <c r="H75">
        <f>IFERROR(
_xlfn.XLOOKUP(
A75,
tblCustomers[Customer ID],
tblCustomers[Annual Income (USD)]
),
0)</f>
        <v>854531</v>
      </c>
      <c r="I75">
        <f t="shared" ca="1" si="13"/>
        <v>1</v>
      </c>
      <c r="J75" t="str">
        <f t="shared" ca="1" si="14"/>
        <v>No</v>
      </c>
      <c r="K75" t="str">
        <f t="shared" ca="1" si="15"/>
        <v>No</v>
      </c>
      <c r="L75" t="str">
        <f>IF(
ISNUMBER(
MATCH(
G75,
tblHighRiskCountries[Country],
0)),
"Yes",
"No")</f>
        <v>No</v>
      </c>
      <c r="M75" t="str">
        <f t="shared" ca="1" si="16"/>
        <v>No</v>
      </c>
      <c r="N75" t="str">
        <f t="shared" ca="1" si="20"/>
        <v>Normal</v>
      </c>
      <c r="O75">
        <f t="shared" ca="1" si="21"/>
        <v>1</v>
      </c>
      <c r="P75" t="str">
        <f t="shared" ca="1" si="17"/>
        <v>No</v>
      </c>
    </row>
    <row r="76" spans="1:16" x14ac:dyDescent="0.25">
      <c r="A76" t="str">
        <f>IF(_xlfn.XLOOKUP(DueDiligenceRegister[[#This Row],[Customer ID]], DueDiligenceRegister[Customer ID], DueDiligenceRegister[Account Status])="Open Account", DueDiligenceRegister[[#This Row],[Customer ID]], "Ineligible / Rejected")</f>
        <v>C0075</v>
      </c>
      <c r="B76" t="str">
        <f>IFERROR(
_xlfn.XLOOKUP(
A76,
tblCustomers[Customer ID],
tblCustomers[Full Name]
),
"")</f>
        <v>Blue Logistics Ltd</v>
      </c>
      <c r="C76" s="2">
        <f t="shared" ca="1" si="18"/>
        <v>46075</v>
      </c>
      <c r="D76" t="s">
        <v>466</v>
      </c>
      <c r="E76">
        <f t="shared" ca="1" si="19"/>
        <v>1668.1</v>
      </c>
      <c r="F76" t="str">
        <f>IFERROR(
_xlfn.XLOOKUP(
A76,
tblCustomers[Customer ID],
tblCustomers[Country]
),
"")</f>
        <v>Canada</v>
      </c>
      <c r="G76" t="str">
        <f>IFERROR(
_xlfn.XLOOKUP(
A76,
tblCustomers[Customer ID],
tblCustomers[Delivery Channel]
),
"")</f>
        <v>Online</v>
      </c>
      <c r="H76">
        <f>IFERROR(
_xlfn.XLOOKUP(
A76,
tblCustomers[Customer ID],
tblCustomers[Annual Income (USD)]
),
0)</f>
        <v>1210417</v>
      </c>
      <c r="I76">
        <f t="shared" ca="1" si="13"/>
        <v>0</v>
      </c>
      <c r="J76" t="str">
        <f t="shared" ca="1" si="14"/>
        <v>No</v>
      </c>
      <c r="K76" t="str">
        <f t="shared" ca="1" si="15"/>
        <v>No</v>
      </c>
      <c r="L76" t="str">
        <f>IF(
ISNUMBER(
MATCH(
G76,
tblHighRiskCountries[Country],
0)),
"Yes",
"No")</f>
        <v>No</v>
      </c>
      <c r="M76" t="str">
        <f t="shared" ca="1" si="16"/>
        <v>No</v>
      </c>
      <c r="N76" t="str">
        <f t="shared" ca="1" si="20"/>
        <v>Normal</v>
      </c>
      <c r="O76">
        <f t="shared" ca="1" si="21"/>
        <v>1</v>
      </c>
      <c r="P76" t="str">
        <f t="shared" ca="1" si="17"/>
        <v>No</v>
      </c>
    </row>
    <row r="77" spans="1:16" x14ac:dyDescent="0.25">
      <c r="A77" t="str">
        <f>IF(_xlfn.XLOOKUP(DueDiligenceRegister[[#This Row],[Customer ID]], DueDiligenceRegister[Customer ID], DueDiligenceRegister[Account Status])="Open Account", DueDiligenceRegister[[#This Row],[Customer ID]], "Ineligible / Rejected")</f>
        <v>C0076</v>
      </c>
      <c r="B77" t="str">
        <f>IFERROR(
_xlfn.XLOOKUP(
A77,
tblCustomers[Customer ID],
tblCustomers[Full Name]
),
"")</f>
        <v>Prime Tech Ltd</v>
      </c>
      <c r="C77" s="2">
        <f t="shared" ca="1" si="18"/>
        <v>46121</v>
      </c>
      <c r="D77" t="s">
        <v>466</v>
      </c>
      <c r="E77">
        <f t="shared" ca="1" si="19"/>
        <v>9939.66</v>
      </c>
      <c r="F77" t="str">
        <f>IFERROR(
_xlfn.XLOOKUP(
A77,
tblCustomers[Customer ID],
tblCustomers[Country]
),
"")</f>
        <v>UAE</v>
      </c>
      <c r="G77" t="str">
        <f>IFERROR(
_xlfn.XLOOKUP(
A77,
tblCustomers[Customer ID],
tblCustomers[Delivery Channel]
),
"")</f>
        <v>Mobile App</v>
      </c>
      <c r="H77">
        <f>IFERROR(
_xlfn.XLOOKUP(
A77,
tblCustomers[Customer ID],
tblCustomers[Annual Income (USD)]
),
0)</f>
        <v>4258069</v>
      </c>
      <c r="I77">
        <f t="shared" ca="1" si="13"/>
        <v>0</v>
      </c>
      <c r="J77" t="str">
        <f t="shared" ca="1" si="14"/>
        <v>No</v>
      </c>
      <c r="K77" t="str">
        <f t="shared" ca="1" si="15"/>
        <v>No</v>
      </c>
      <c r="L77" t="str">
        <f>IF(
ISNUMBER(
MATCH(
G77,
tblHighRiskCountries[Country],
0)),
"Yes",
"No")</f>
        <v>No</v>
      </c>
      <c r="M77" t="str">
        <f t="shared" ca="1" si="16"/>
        <v>No</v>
      </c>
      <c r="N77" t="str">
        <f t="shared" ca="1" si="20"/>
        <v>Normal</v>
      </c>
      <c r="O77">
        <f t="shared" ca="1" si="21"/>
        <v>1</v>
      </c>
      <c r="P77" t="str">
        <f t="shared" ca="1" si="17"/>
        <v>No</v>
      </c>
    </row>
    <row r="78" spans="1:16" x14ac:dyDescent="0.25">
      <c r="A78" t="str">
        <f>IF(_xlfn.XLOOKUP(DueDiligenceRegister[[#This Row],[Customer ID]], DueDiligenceRegister[Customer ID], DueDiligenceRegister[Account Status])="Open Account", DueDiligenceRegister[[#This Row],[Customer ID]], "Ineligible / Rejected")</f>
        <v>C0077</v>
      </c>
      <c r="B78" t="str">
        <f>IFERROR(
_xlfn.XLOOKUP(
A78,
tblCustomers[Customer ID],
tblCustomers[Full Name]
),
"")</f>
        <v>Apex Farms Ltd</v>
      </c>
      <c r="C78" s="2">
        <f t="shared" ca="1" si="18"/>
        <v>46138</v>
      </c>
      <c r="D78" t="s">
        <v>466</v>
      </c>
      <c r="E78">
        <f t="shared" ca="1" si="19"/>
        <v>13875.73</v>
      </c>
      <c r="F78" t="str">
        <f>IFERROR(
_xlfn.XLOOKUP(
A78,
tblCustomers[Customer ID],
tblCustomers[Country]
),
"")</f>
        <v>Ghana</v>
      </c>
      <c r="G78" t="str">
        <f>IFERROR(
_xlfn.XLOOKUP(
A78,
tblCustomers[Customer ID],
tblCustomers[Delivery Channel]
),
"")</f>
        <v>Branch</v>
      </c>
      <c r="H78">
        <f>IFERROR(
_xlfn.XLOOKUP(
A78,
tblCustomers[Customer ID],
tblCustomers[Annual Income (USD)]
),
0)</f>
        <v>762480</v>
      </c>
      <c r="I78">
        <f t="shared" ca="1" si="13"/>
        <v>0</v>
      </c>
      <c r="J78" t="str">
        <f t="shared" ca="1" si="14"/>
        <v>No</v>
      </c>
      <c r="K78" t="str">
        <f t="shared" ca="1" si="15"/>
        <v>No</v>
      </c>
      <c r="L78" t="str">
        <f>IF(
ISNUMBER(
MATCH(
G78,
tblHighRiskCountries[Country],
0)),
"Yes",
"No")</f>
        <v>No</v>
      </c>
      <c r="M78" t="str">
        <f t="shared" ca="1" si="16"/>
        <v>No</v>
      </c>
      <c r="N78" t="str">
        <f t="shared" ca="1" si="20"/>
        <v>Normal</v>
      </c>
      <c r="O78">
        <f t="shared" ca="1" si="21"/>
        <v>1</v>
      </c>
      <c r="P78" t="str">
        <f t="shared" ca="1" si="17"/>
        <v>No</v>
      </c>
    </row>
    <row r="79" spans="1:16" x14ac:dyDescent="0.25">
      <c r="A79" t="str">
        <f>IF(_xlfn.XLOOKUP(DueDiligenceRegister[[#This Row],[Customer ID]], DueDiligenceRegister[Customer ID], DueDiligenceRegister[Account Status])="Open Account", DueDiligenceRegister[[#This Row],[Customer ID]], "Ineligible / Rejected")</f>
        <v>C0078</v>
      </c>
      <c r="B79" t="str">
        <f>IFERROR(
_xlfn.XLOOKUP(
A79,
tblCustomers[Customer ID],
tblCustomers[Full Name]
),
"")</f>
        <v>Orion Foods Ltd</v>
      </c>
      <c r="C79" s="2">
        <f t="shared" ca="1" si="18"/>
        <v>46171</v>
      </c>
      <c r="D79" t="s">
        <v>466</v>
      </c>
      <c r="E79">
        <f t="shared" ca="1" si="19"/>
        <v>10755.57</v>
      </c>
      <c r="F79" t="str">
        <f>IFERROR(
_xlfn.XLOOKUP(
A79,
tblCustomers[Customer ID],
tblCustomers[Country]
),
"")</f>
        <v>Kenya</v>
      </c>
      <c r="G79" t="str">
        <f>IFERROR(
_xlfn.XLOOKUP(
A79,
tblCustomers[Customer ID],
tblCustomers[Delivery Channel]
),
"")</f>
        <v>Relationship Manager</v>
      </c>
      <c r="H79">
        <f>IFERROR(
_xlfn.XLOOKUP(
A79,
tblCustomers[Customer ID],
tblCustomers[Annual Income (USD)]
),
0)</f>
        <v>348528</v>
      </c>
      <c r="I79">
        <f t="shared" ca="1" si="13"/>
        <v>0</v>
      </c>
      <c r="J79" t="str">
        <f t="shared" ca="1" si="14"/>
        <v>No</v>
      </c>
      <c r="K79" t="str">
        <f t="shared" ca="1" si="15"/>
        <v>No</v>
      </c>
      <c r="L79" t="str">
        <f>IF(
ISNUMBER(
MATCH(
G79,
tblHighRiskCountries[Country],
0)),
"Yes",
"No")</f>
        <v>No</v>
      </c>
      <c r="M79" t="str">
        <f t="shared" ca="1" si="16"/>
        <v>No</v>
      </c>
      <c r="N79" t="str">
        <f t="shared" ca="1" si="20"/>
        <v>Normal</v>
      </c>
      <c r="O79">
        <f t="shared" ca="1" si="21"/>
        <v>1</v>
      </c>
      <c r="P79" t="str">
        <f t="shared" ca="1" si="17"/>
        <v>No</v>
      </c>
    </row>
    <row r="80" spans="1:16" x14ac:dyDescent="0.25">
      <c r="A80" t="str">
        <f>IF(_xlfn.XLOOKUP(DueDiligenceRegister[[#This Row],[Customer ID]], DueDiligenceRegister[Customer ID], DueDiligenceRegister[Account Status])="Open Account", DueDiligenceRegister[[#This Row],[Customer ID]], "Ineligible / Rejected")</f>
        <v>C0079</v>
      </c>
      <c r="B80" t="str">
        <f>IFERROR(
_xlfn.XLOOKUP(
A80,
tblCustomers[Customer ID],
tblCustomers[Full Name]
),
"")</f>
        <v>Orion Manufacturing Ltd</v>
      </c>
      <c r="C80" s="2">
        <f t="shared" ca="1" si="18"/>
        <v>46081</v>
      </c>
      <c r="D80" t="s">
        <v>466</v>
      </c>
      <c r="E80">
        <f t="shared" ca="1" si="19"/>
        <v>12779.32</v>
      </c>
      <c r="F80" t="str">
        <f>IFERROR(
_xlfn.XLOOKUP(
A80,
tblCustomers[Customer ID],
tblCustomers[Country]
),
"")</f>
        <v>United Kingdom</v>
      </c>
      <c r="G80" t="str">
        <f>IFERROR(
_xlfn.XLOOKUP(
A80,
tblCustomers[Customer ID],
tblCustomers[Delivery Channel]
),
"")</f>
        <v>Online</v>
      </c>
      <c r="H80">
        <f>IFERROR(
_xlfn.XLOOKUP(
A80,
tblCustomers[Customer ID],
tblCustomers[Annual Income (USD)]
),
0)</f>
        <v>4560169</v>
      </c>
      <c r="I80">
        <f t="shared" ca="1" si="13"/>
        <v>0</v>
      </c>
      <c r="J80" t="str">
        <f t="shared" ca="1" si="14"/>
        <v>No</v>
      </c>
      <c r="K80" t="str">
        <f t="shared" ca="1" si="15"/>
        <v>No</v>
      </c>
      <c r="L80" t="str">
        <f>IF(
ISNUMBER(
MATCH(
G80,
tblHighRiskCountries[Country],
0)),
"Yes",
"No")</f>
        <v>No</v>
      </c>
      <c r="M80" t="str">
        <f t="shared" ca="1" si="16"/>
        <v>No</v>
      </c>
      <c r="N80" t="str">
        <f t="shared" ca="1" si="20"/>
        <v>Normal</v>
      </c>
      <c r="O80">
        <f t="shared" ca="1" si="21"/>
        <v>1</v>
      </c>
      <c r="P80" t="str">
        <f t="shared" ca="1" si="17"/>
        <v>No</v>
      </c>
    </row>
    <row r="81" spans="1:16" x14ac:dyDescent="0.25">
      <c r="A81" t="str">
        <f>IF(_xlfn.XLOOKUP(DueDiligenceRegister[[#This Row],[Customer ID]], DueDiligenceRegister[Customer ID], DueDiligenceRegister[Account Status])="Open Account", DueDiligenceRegister[[#This Row],[Customer ID]], "Ineligible / Rejected")</f>
        <v>C0080</v>
      </c>
      <c r="B81" t="str">
        <f>IFERROR(
_xlfn.XLOOKUP(
A81,
tblCustomers[Customer ID],
tblCustomers[Full Name]
),
"")</f>
        <v>Orion Tech Ltd</v>
      </c>
      <c r="C81" s="2">
        <f t="shared" ca="1" si="18"/>
        <v>46203</v>
      </c>
      <c r="D81" t="s">
        <v>466</v>
      </c>
      <c r="E81">
        <f t="shared" ca="1" si="19"/>
        <v>11776.54</v>
      </c>
      <c r="F81" t="str">
        <f>IFERROR(
_xlfn.XLOOKUP(
A81,
tblCustomers[Customer ID],
tblCustomers[Country]
),
"")</f>
        <v>Kenya</v>
      </c>
      <c r="G81" t="str">
        <f>IFERROR(
_xlfn.XLOOKUP(
A81,
tblCustomers[Customer ID],
tblCustomers[Delivery Channel]
),
"")</f>
        <v>Relationship Manager</v>
      </c>
      <c r="H81">
        <f>IFERROR(
_xlfn.XLOOKUP(
A81,
tblCustomers[Customer ID],
tblCustomers[Annual Income (USD)]
),
0)</f>
        <v>4757877</v>
      </c>
      <c r="I81">
        <f t="shared" ca="1" si="13"/>
        <v>0</v>
      </c>
      <c r="J81" t="str">
        <f t="shared" ca="1" si="14"/>
        <v>No</v>
      </c>
      <c r="K81" t="str">
        <f t="shared" ca="1" si="15"/>
        <v>No</v>
      </c>
      <c r="L81" t="str">
        <f>IF(
ISNUMBER(
MATCH(
G81,
tblHighRiskCountries[Country],
0)),
"Yes",
"No")</f>
        <v>No</v>
      </c>
      <c r="M81" t="str">
        <f t="shared" ca="1" si="16"/>
        <v>No</v>
      </c>
      <c r="N81" t="str">
        <f t="shared" ca="1" si="20"/>
        <v>Normal</v>
      </c>
      <c r="O81">
        <f t="shared" ca="1" si="21"/>
        <v>1</v>
      </c>
      <c r="P81" t="str">
        <f t="shared" ca="1" si="17"/>
        <v>No</v>
      </c>
    </row>
    <row r="82" spans="1:16" x14ac:dyDescent="0.25">
      <c r="A82" t="str">
        <f>IF(_xlfn.XLOOKUP(DueDiligenceRegister[[#This Row],[Customer ID]], DueDiligenceRegister[Customer ID], DueDiligenceRegister[Account Status])="Open Account", DueDiligenceRegister[[#This Row],[Customer ID]], "Ineligible / Rejected")</f>
        <v>C0081</v>
      </c>
      <c r="B82" t="str">
        <f>IFERROR(
_xlfn.XLOOKUP(
A82,
tblCustomers[Customer ID],
tblCustomers[Full Name]
),
"")</f>
        <v>Evergreen Manufacturing Ltd</v>
      </c>
      <c r="C82" s="2">
        <f t="shared" ca="1" si="18"/>
        <v>46054</v>
      </c>
      <c r="D82" t="s">
        <v>466</v>
      </c>
      <c r="E82">
        <f t="shared" ca="1" si="19"/>
        <v>889.33</v>
      </c>
      <c r="F82" t="str">
        <f>IFERROR(
_xlfn.XLOOKUP(
A82,
tblCustomers[Customer ID],
tblCustomers[Country]
),
"")</f>
        <v>Kenya</v>
      </c>
      <c r="G82" t="str">
        <f>IFERROR(
_xlfn.XLOOKUP(
A82,
tblCustomers[Customer ID],
tblCustomers[Delivery Channel]
),
"")</f>
        <v>Mobile App</v>
      </c>
      <c r="H82">
        <f>IFERROR(
_xlfn.XLOOKUP(
A82,
tblCustomers[Customer ID],
tblCustomers[Annual Income (USD)]
),
0)</f>
        <v>3314793</v>
      </c>
      <c r="I82">
        <f t="shared" ca="1" si="13"/>
        <v>0</v>
      </c>
      <c r="J82" t="str">
        <f t="shared" ca="1" si="14"/>
        <v>No</v>
      </c>
      <c r="K82" t="str">
        <f t="shared" ca="1" si="15"/>
        <v>No</v>
      </c>
      <c r="L82" t="str">
        <f>IF(
ISNUMBER(
MATCH(
G82,
tblHighRiskCountries[Country],
0)),
"Yes",
"No")</f>
        <v>No</v>
      </c>
      <c r="M82" t="str">
        <f t="shared" ca="1" si="16"/>
        <v>No</v>
      </c>
      <c r="N82" t="str">
        <f t="shared" ca="1" si="20"/>
        <v>Normal</v>
      </c>
      <c r="O82">
        <f t="shared" ca="1" si="21"/>
        <v>1</v>
      </c>
      <c r="P82" t="str">
        <f t="shared" ca="1" si="17"/>
        <v>No</v>
      </c>
    </row>
    <row r="83" spans="1:16" hidden="1" x14ac:dyDescent="0.25">
      <c r="A83" t="str">
        <f>IF(_xlfn.XLOOKUP(DueDiligenceRegister[[#This Row],[Customer ID]], DueDiligenceRegister[Customer ID], DueDiligenceRegister[Account Status])="Open Account", DueDiligenceRegister[[#This Row],[Customer ID]], "Ineligible / Rejected")</f>
        <v>Ineligible / Rejected</v>
      </c>
      <c r="B83" t="str">
        <f>IFERROR(
_xlfn.XLOOKUP(
A83,
tblCustomers[Customer ID],
tblCustomers[Full Name]
),
"")</f>
        <v/>
      </c>
      <c r="C83" s="2">
        <f t="shared" ca="1" si="18"/>
        <v>46140</v>
      </c>
      <c r="D83" t="s">
        <v>466</v>
      </c>
      <c r="E83">
        <f t="shared" ca="1" si="19"/>
        <v>2459.4899999999998</v>
      </c>
      <c r="F83" t="str">
        <f>IFERROR(
_xlfn.XLOOKUP(
A83,
tblCustomers[Customer ID],
tblCustomers[Country]
),
"")</f>
        <v/>
      </c>
      <c r="G83" t="str">
        <f>IFERROR(
_xlfn.XLOOKUP(
A83,
tblCustomers[Customer ID],
tblCustomers[Delivery Channel]
),
"")</f>
        <v/>
      </c>
      <c r="H83">
        <f>IFERROR(
_xlfn.XLOOKUP(
A83,
tblCustomers[Customer ID],
tblCustomers[Annual Income (USD)]
),
0)</f>
        <v>0</v>
      </c>
      <c r="I83">
        <f t="shared" ca="1" si="13"/>
        <v>6</v>
      </c>
      <c r="J83" t="str">
        <f t="shared" ca="1" si="14"/>
        <v>Yes</v>
      </c>
      <c r="K83" t="str">
        <f t="shared" ca="1" si="15"/>
        <v>No</v>
      </c>
      <c r="L83" t="str">
        <f>IF(
ISNUMBER(
MATCH(
G83,
tblHighRiskCountries[Country],
0)),
"Yes",
"No")</f>
        <v>No</v>
      </c>
      <c r="M83" t="str">
        <f t="shared" ca="1" si="16"/>
        <v>No</v>
      </c>
      <c r="N83" t="str">
        <f t="shared" ca="1" si="20"/>
        <v>Alert</v>
      </c>
      <c r="O83">
        <f t="shared" ca="1" si="21"/>
        <v>2</v>
      </c>
      <c r="P83" t="str">
        <f t="shared" ca="1" si="17"/>
        <v>No</v>
      </c>
    </row>
    <row r="84" spans="1:16" hidden="1" x14ac:dyDescent="0.25">
      <c r="A84" t="str">
        <f>IF(_xlfn.XLOOKUP(DueDiligenceRegister[[#This Row],[Customer ID]], DueDiligenceRegister[Customer ID], DueDiligenceRegister[Account Status])="Open Account", DueDiligenceRegister[[#This Row],[Customer ID]], "Ineligible / Rejected")</f>
        <v>Ineligible / Rejected</v>
      </c>
      <c r="B84" t="str">
        <f>IFERROR(
_xlfn.XLOOKUP(
A84,
tblCustomers[Customer ID],
tblCustomers[Full Name]
),
"")</f>
        <v/>
      </c>
      <c r="C84" s="2">
        <f t="shared" ca="1" si="18"/>
        <v>46207</v>
      </c>
      <c r="D84" t="s">
        <v>466</v>
      </c>
      <c r="E84">
        <f t="shared" ca="1" si="19"/>
        <v>1702.72</v>
      </c>
      <c r="F84" t="str">
        <f>IFERROR(
_xlfn.XLOOKUP(
A84,
tblCustomers[Customer ID],
tblCustomers[Country]
),
"")</f>
        <v/>
      </c>
      <c r="G84" t="str">
        <f>IFERROR(
_xlfn.XLOOKUP(
A84,
tblCustomers[Customer ID],
tblCustomers[Delivery Channel]
),
"")</f>
        <v/>
      </c>
      <c r="H84">
        <f>IFERROR(
_xlfn.XLOOKUP(
A84,
tblCustomers[Customer ID],
tblCustomers[Annual Income (USD)]
),
0)</f>
        <v>0</v>
      </c>
      <c r="I84">
        <f t="shared" ca="1" si="13"/>
        <v>6</v>
      </c>
      <c r="J84" t="str">
        <f t="shared" ca="1" si="14"/>
        <v>Yes</v>
      </c>
      <c r="K84" t="str">
        <f t="shared" ca="1" si="15"/>
        <v>No</v>
      </c>
      <c r="L84" t="str">
        <f>IF(
ISNUMBER(
MATCH(
G84,
tblHighRiskCountries[Country],
0)),
"Yes",
"No")</f>
        <v>No</v>
      </c>
      <c r="M84" t="str">
        <f t="shared" ca="1" si="16"/>
        <v>No</v>
      </c>
      <c r="N84" t="str">
        <f t="shared" ca="1" si="20"/>
        <v>Alert</v>
      </c>
      <c r="O84">
        <f t="shared" ca="1" si="21"/>
        <v>2</v>
      </c>
      <c r="P84" t="str">
        <f t="shared" ca="1" si="17"/>
        <v>No</v>
      </c>
    </row>
    <row r="85" spans="1:16" x14ac:dyDescent="0.25">
      <c r="A85" t="str">
        <f>IF(_xlfn.XLOOKUP(DueDiligenceRegister[[#This Row],[Customer ID]], DueDiligenceRegister[Customer ID], DueDiligenceRegister[Account Status])="Open Account", DueDiligenceRegister[[#This Row],[Customer ID]], "Ineligible / Rejected")</f>
        <v>C0084</v>
      </c>
      <c r="B85" t="str">
        <f>IFERROR(
_xlfn.XLOOKUP(
A85,
tblCustomers[Customer ID],
tblCustomers[Full Name]
),
"")</f>
        <v>Apex Manufacturing Ltd</v>
      </c>
      <c r="C85" s="2">
        <f t="shared" ca="1" si="18"/>
        <v>46188</v>
      </c>
      <c r="D85" t="s">
        <v>466</v>
      </c>
      <c r="E85">
        <f t="shared" ca="1" si="19"/>
        <v>6768.16</v>
      </c>
      <c r="F85" t="str">
        <f>IFERROR(
_xlfn.XLOOKUP(
A85,
tblCustomers[Customer ID],
tblCustomers[Country]
),
"")</f>
        <v>Ghana</v>
      </c>
      <c r="G85" t="str">
        <f>IFERROR(
_xlfn.XLOOKUP(
A85,
tblCustomers[Customer ID],
tblCustomers[Delivery Channel]
),
"")</f>
        <v>Mobile App</v>
      </c>
      <c r="H85">
        <f>IFERROR(
_xlfn.XLOOKUP(
A85,
tblCustomers[Customer ID],
tblCustomers[Annual Income (USD)]
),
0)</f>
        <v>4566040</v>
      </c>
      <c r="I85">
        <f t="shared" ca="1" si="13"/>
        <v>0</v>
      </c>
      <c r="J85" t="str">
        <f t="shared" ca="1" si="14"/>
        <v>No</v>
      </c>
      <c r="K85" t="str">
        <f t="shared" ca="1" si="15"/>
        <v>No</v>
      </c>
      <c r="L85" t="str">
        <f>IF(
ISNUMBER(
MATCH(
G85,
tblHighRiskCountries[Country],
0)),
"Yes",
"No")</f>
        <v>No</v>
      </c>
      <c r="M85" t="str">
        <f t="shared" ca="1" si="16"/>
        <v>No</v>
      </c>
      <c r="N85" t="str">
        <f t="shared" ca="1" si="20"/>
        <v>Normal</v>
      </c>
      <c r="O85">
        <f t="shared" ca="1" si="21"/>
        <v>1</v>
      </c>
      <c r="P85" t="str">
        <f t="shared" ca="1" si="17"/>
        <v>No</v>
      </c>
    </row>
    <row r="86" spans="1:16" x14ac:dyDescent="0.25">
      <c r="A86" t="str">
        <f>IF(_xlfn.XLOOKUP(DueDiligenceRegister[[#This Row],[Customer ID]], DueDiligenceRegister[Customer ID], DueDiligenceRegister[Account Status])="Open Account", DueDiligenceRegister[[#This Row],[Customer ID]], "Ineligible / Rejected")</f>
        <v>C0085</v>
      </c>
      <c r="B86" t="str">
        <f>IFERROR(
_xlfn.XLOOKUP(
A86,
tblCustomers[Customer ID],
tblCustomers[Full Name]
),
"")</f>
        <v>Apex Farms Ltd</v>
      </c>
      <c r="C86" s="2">
        <f t="shared" ca="1" si="18"/>
        <v>46135</v>
      </c>
      <c r="D86" t="s">
        <v>466</v>
      </c>
      <c r="E86">
        <f t="shared" ca="1" si="19"/>
        <v>4879.68</v>
      </c>
      <c r="F86" t="str">
        <f>IFERROR(
_xlfn.XLOOKUP(
A86,
tblCustomers[Customer ID],
tblCustomers[Country]
),
"")</f>
        <v>United Kingdom</v>
      </c>
      <c r="G86" t="str">
        <f>IFERROR(
_xlfn.XLOOKUP(
A86,
tblCustomers[Customer ID],
tblCustomers[Delivery Channel]
),
"")</f>
        <v>Online</v>
      </c>
      <c r="H86">
        <f>IFERROR(
_xlfn.XLOOKUP(
A86,
tblCustomers[Customer ID],
tblCustomers[Annual Income (USD)]
),
0)</f>
        <v>1831177</v>
      </c>
      <c r="I86">
        <f t="shared" ca="1" si="13"/>
        <v>0</v>
      </c>
      <c r="J86" t="str">
        <f t="shared" ca="1" si="14"/>
        <v>No</v>
      </c>
      <c r="K86" t="str">
        <f t="shared" ca="1" si="15"/>
        <v>No</v>
      </c>
      <c r="L86" t="str">
        <f>IF(
ISNUMBER(
MATCH(
G86,
tblHighRiskCountries[Country],
0)),
"Yes",
"No")</f>
        <v>No</v>
      </c>
      <c r="M86" t="str">
        <f t="shared" ca="1" si="16"/>
        <v>No</v>
      </c>
      <c r="N86" t="str">
        <f t="shared" ca="1" si="20"/>
        <v>Normal</v>
      </c>
      <c r="O86">
        <f t="shared" ca="1" si="21"/>
        <v>1</v>
      </c>
      <c r="P86" t="str">
        <f t="shared" ca="1" si="17"/>
        <v>No</v>
      </c>
    </row>
    <row r="87" spans="1:16" x14ac:dyDescent="0.25">
      <c r="A87" t="str">
        <f>IF(_xlfn.XLOOKUP(DueDiligenceRegister[[#This Row],[Customer ID]], DueDiligenceRegister[Customer ID], DueDiligenceRegister[Account Status])="Open Account", DueDiligenceRegister[[#This Row],[Customer ID]], "Ineligible / Rejected")</f>
        <v>C0086</v>
      </c>
      <c r="B87" t="str">
        <f>IFERROR(
_xlfn.XLOOKUP(
A87,
tblCustomers[Customer ID],
tblCustomers[Full Name]
),
"")</f>
        <v>Green Foods Ltd</v>
      </c>
      <c r="C87" s="2">
        <f t="shared" ca="1" si="18"/>
        <v>46176</v>
      </c>
      <c r="D87" t="s">
        <v>466</v>
      </c>
      <c r="E87">
        <f t="shared" ca="1" si="19"/>
        <v>5115</v>
      </c>
      <c r="F87" t="str">
        <f>IFERROR(
_xlfn.XLOOKUP(
A87,
tblCustomers[Customer ID],
tblCustomers[Country]
),
"")</f>
        <v>United States</v>
      </c>
      <c r="G87" t="str">
        <f>IFERROR(
_xlfn.XLOOKUP(
A87,
tblCustomers[Customer ID],
tblCustomers[Delivery Channel]
),
"")</f>
        <v>Relationship Manager</v>
      </c>
      <c r="H87">
        <f>IFERROR(
_xlfn.XLOOKUP(
A87,
tblCustomers[Customer ID],
tblCustomers[Annual Income (USD)]
),
0)</f>
        <v>3617901</v>
      </c>
      <c r="I87">
        <f t="shared" ca="1" si="13"/>
        <v>0</v>
      </c>
      <c r="J87" t="str">
        <f t="shared" ca="1" si="14"/>
        <v>No</v>
      </c>
      <c r="K87" t="str">
        <f t="shared" ca="1" si="15"/>
        <v>No</v>
      </c>
      <c r="L87" t="str">
        <f>IF(
ISNUMBER(
MATCH(
G87,
tblHighRiskCountries[Country],
0)),
"Yes",
"No")</f>
        <v>No</v>
      </c>
      <c r="M87" t="str">
        <f t="shared" ca="1" si="16"/>
        <v>No</v>
      </c>
      <c r="N87" t="str">
        <f t="shared" ca="1" si="20"/>
        <v>Normal</v>
      </c>
      <c r="O87">
        <f t="shared" ca="1" si="21"/>
        <v>1</v>
      </c>
      <c r="P87" t="str">
        <f t="shared" ca="1" si="17"/>
        <v>No</v>
      </c>
    </row>
    <row r="88" spans="1:16" x14ac:dyDescent="0.25">
      <c r="A88" t="str">
        <f>IF(_xlfn.XLOOKUP(DueDiligenceRegister[[#This Row],[Customer ID]], DueDiligenceRegister[Customer ID], DueDiligenceRegister[Account Status])="Open Account", DueDiligenceRegister[[#This Row],[Customer ID]], "Ineligible / Rejected")</f>
        <v>C0087</v>
      </c>
      <c r="B88" t="str">
        <f>IFERROR(
_xlfn.XLOOKUP(
A88,
tblCustomers[Customer ID],
tblCustomers[Full Name]
),
"")</f>
        <v>Blue Farms Ltd</v>
      </c>
      <c r="C88" s="2">
        <f t="shared" ca="1" si="18"/>
        <v>46054</v>
      </c>
      <c r="D88" t="s">
        <v>466</v>
      </c>
      <c r="E88">
        <f t="shared" ca="1" si="19"/>
        <v>9293</v>
      </c>
      <c r="F88" t="str">
        <f>IFERROR(
_xlfn.XLOOKUP(
A88,
tblCustomers[Customer ID],
tblCustomers[Country]
),
"")</f>
        <v>Canada</v>
      </c>
      <c r="G88" t="str">
        <f>IFERROR(
_xlfn.XLOOKUP(
A88,
tblCustomers[Customer ID],
tblCustomers[Delivery Channel]
),
"")</f>
        <v>Mobile App</v>
      </c>
      <c r="H88">
        <f>IFERROR(
_xlfn.XLOOKUP(
A88,
tblCustomers[Customer ID],
tblCustomers[Annual Income (USD)]
),
0)</f>
        <v>684257</v>
      </c>
      <c r="I88">
        <f t="shared" ca="1" si="13"/>
        <v>0</v>
      </c>
      <c r="J88" t="str">
        <f t="shared" ca="1" si="14"/>
        <v>No</v>
      </c>
      <c r="K88" t="str">
        <f t="shared" ca="1" si="15"/>
        <v>No</v>
      </c>
      <c r="L88" t="str">
        <f>IF(
ISNUMBER(
MATCH(
G88,
tblHighRiskCountries[Country],
0)),
"Yes",
"No")</f>
        <v>No</v>
      </c>
      <c r="M88" t="str">
        <f t="shared" ca="1" si="16"/>
        <v>No</v>
      </c>
      <c r="N88" t="str">
        <f t="shared" ca="1" si="20"/>
        <v>Normal</v>
      </c>
      <c r="O88">
        <f t="shared" ca="1" si="21"/>
        <v>1</v>
      </c>
      <c r="P88" t="str">
        <f t="shared" ca="1" si="17"/>
        <v>No</v>
      </c>
    </row>
    <row r="89" spans="1:16" x14ac:dyDescent="0.25">
      <c r="A89" t="str">
        <f>IF(_xlfn.XLOOKUP(DueDiligenceRegister[[#This Row],[Customer ID]], DueDiligenceRegister[Customer ID], DueDiligenceRegister[Account Status])="Open Account", DueDiligenceRegister[[#This Row],[Customer ID]], "Ineligible / Rejected")</f>
        <v>C0088</v>
      </c>
      <c r="B89" t="str">
        <f>IFERROR(
_xlfn.XLOOKUP(
A89,
tblCustomers[Customer ID],
tblCustomers[Full Name]
),
"")</f>
        <v>Evergreen Logistics Ltd</v>
      </c>
      <c r="C89" s="2">
        <f t="shared" ca="1" si="18"/>
        <v>46082</v>
      </c>
      <c r="D89" t="s">
        <v>466</v>
      </c>
      <c r="E89">
        <f t="shared" ca="1" si="19"/>
        <v>8701.6299999999992</v>
      </c>
      <c r="F89" t="str">
        <f>IFERROR(
_xlfn.XLOOKUP(
A89,
tblCustomers[Customer ID],
tblCustomers[Country]
),
"")</f>
        <v>Ghana</v>
      </c>
      <c r="G89" t="str">
        <f>IFERROR(
_xlfn.XLOOKUP(
A89,
tblCustomers[Customer ID],
tblCustomers[Delivery Channel]
),
"")</f>
        <v>Mobile App</v>
      </c>
      <c r="H89">
        <f>IFERROR(
_xlfn.XLOOKUP(
A89,
tblCustomers[Customer ID],
tblCustomers[Annual Income (USD)]
),
0)</f>
        <v>412258</v>
      </c>
      <c r="I89">
        <f t="shared" ca="1" si="13"/>
        <v>0</v>
      </c>
      <c r="J89" t="str">
        <f t="shared" ca="1" si="14"/>
        <v>No</v>
      </c>
      <c r="K89" t="str">
        <f t="shared" ca="1" si="15"/>
        <v>No</v>
      </c>
      <c r="L89" t="str">
        <f>IF(
ISNUMBER(
MATCH(
G89,
tblHighRiskCountries[Country],
0)),
"Yes",
"No")</f>
        <v>No</v>
      </c>
      <c r="M89" t="str">
        <f t="shared" ca="1" si="16"/>
        <v>No</v>
      </c>
      <c r="N89" t="str">
        <f t="shared" ca="1" si="20"/>
        <v>Normal</v>
      </c>
      <c r="O89">
        <f t="shared" ca="1" si="21"/>
        <v>1</v>
      </c>
      <c r="P89" t="str">
        <f t="shared" ca="1" si="17"/>
        <v>No</v>
      </c>
    </row>
    <row r="90" spans="1:16" x14ac:dyDescent="0.25">
      <c r="A90" t="str">
        <f>IF(_xlfn.XLOOKUP(DueDiligenceRegister[[#This Row],[Customer ID]], DueDiligenceRegister[Customer ID], DueDiligenceRegister[Account Status])="Open Account", DueDiligenceRegister[[#This Row],[Customer ID]], "Ineligible / Rejected")</f>
        <v>C0089</v>
      </c>
      <c r="B90" t="str">
        <f>IFERROR(
_xlfn.XLOOKUP(
A90,
tblCustomers[Customer ID],
tblCustomers[Full Name]
),
"")</f>
        <v>Green Foods Ltd</v>
      </c>
      <c r="C90" s="2">
        <f t="shared" ca="1" si="18"/>
        <v>46102</v>
      </c>
      <c r="D90" t="s">
        <v>466</v>
      </c>
      <c r="E90">
        <f t="shared" ca="1" si="19"/>
        <v>11258.36</v>
      </c>
      <c r="F90" t="str">
        <f>IFERROR(
_xlfn.XLOOKUP(
A90,
tblCustomers[Customer ID],
tblCustomers[Country]
),
"")</f>
        <v>Canada</v>
      </c>
      <c r="G90" t="str">
        <f>IFERROR(
_xlfn.XLOOKUP(
A90,
tblCustomers[Customer ID],
tblCustomers[Delivery Channel]
),
"")</f>
        <v>Relationship Manager</v>
      </c>
      <c r="H90">
        <f>IFERROR(
_xlfn.XLOOKUP(
A90,
tblCustomers[Customer ID],
tblCustomers[Annual Income (USD)]
),
0)</f>
        <v>1159441</v>
      </c>
      <c r="I90">
        <f t="shared" ca="1" si="13"/>
        <v>0</v>
      </c>
      <c r="J90" t="str">
        <f t="shared" ca="1" si="14"/>
        <v>No</v>
      </c>
      <c r="K90" t="str">
        <f t="shared" ca="1" si="15"/>
        <v>No</v>
      </c>
      <c r="L90" t="str">
        <f>IF(
ISNUMBER(
MATCH(
G90,
tblHighRiskCountries[Country],
0)),
"Yes",
"No")</f>
        <v>No</v>
      </c>
      <c r="M90" t="str">
        <f t="shared" ca="1" si="16"/>
        <v>No</v>
      </c>
      <c r="N90" t="str">
        <f t="shared" ca="1" si="20"/>
        <v>Normal</v>
      </c>
      <c r="O90">
        <f t="shared" ca="1" si="21"/>
        <v>1</v>
      </c>
      <c r="P90" t="str">
        <f t="shared" ca="1" si="17"/>
        <v>No</v>
      </c>
    </row>
    <row r="91" spans="1:16" x14ac:dyDescent="0.25">
      <c r="A91" t="str">
        <f>IF(_xlfn.XLOOKUP(DueDiligenceRegister[[#This Row],[Customer ID]], DueDiligenceRegister[Customer ID], DueDiligenceRegister[Account Status])="Open Account", DueDiligenceRegister[[#This Row],[Customer ID]], "Ineligible / Rejected")</f>
        <v>C0090</v>
      </c>
      <c r="B91" t="str">
        <f>IFERROR(
_xlfn.XLOOKUP(
A91,
tblCustomers[Customer ID],
tblCustomers[Full Name]
),
"")</f>
        <v>Blue Tech Ltd</v>
      </c>
      <c r="C91" s="2">
        <f t="shared" ca="1" si="18"/>
        <v>46151</v>
      </c>
      <c r="D91" t="s">
        <v>466</v>
      </c>
      <c r="E91">
        <f t="shared" ca="1" si="19"/>
        <v>7147.27</v>
      </c>
      <c r="F91" t="str">
        <f>IFERROR(
_xlfn.XLOOKUP(
A91,
tblCustomers[Customer ID],
tblCustomers[Country]
),
"")</f>
        <v>Ghana</v>
      </c>
      <c r="G91" t="str">
        <f>IFERROR(
_xlfn.XLOOKUP(
A91,
tblCustomers[Customer ID],
tblCustomers[Delivery Channel]
),
"")</f>
        <v>Mobile App</v>
      </c>
      <c r="H91">
        <f>IFERROR(
_xlfn.XLOOKUP(
A91,
tblCustomers[Customer ID],
tblCustomers[Annual Income (USD)]
),
0)</f>
        <v>1526648</v>
      </c>
      <c r="I91">
        <f t="shared" ca="1" si="13"/>
        <v>0</v>
      </c>
      <c r="J91" t="str">
        <f t="shared" ca="1" si="14"/>
        <v>No</v>
      </c>
      <c r="K91" t="str">
        <f t="shared" ca="1" si="15"/>
        <v>No</v>
      </c>
      <c r="L91" t="str">
        <f>IF(
ISNUMBER(
MATCH(
G91,
tblHighRiskCountries[Country],
0)),
"Yes",
"No")</f>
        <v>No</v>
      </c>
      <c r="M91" t="str">
        <f t="shared" ca="1" si="16"/>
        <v>No</v>
      </c>
      <c r="N91" t="str">
        <f t="shared" ca="1" si="20"/>
        <v>Normal</v>
      </c>
      <c r="O91">
        <f t="shared" ca="1" si="21"/>
        <v>1</v>
      </c>
      <c r="P91" t="str">
        <f t="shared" ca="1" si="17"/>
        <v>No</v>
      </c>
    </row>
    <row r="92" spans="1:16" x14ac:dyDescent="0.25">
      <c r="A92" t="str">
        <f>IF(_xlfn.XLOOKUP(DueDiligenceRegister[[#This Row],[Customer ID]], DueDiligenceRegister[Customer ID], DueDiligenceRegister[Account Status])="Open Account", DueDiligenceRegister[[#This Row],[Customer ID]], "Ineligible / Rejected")</f>
        <v>C0091</v>
      </c>
      <c r="B92" t="str">
        <f>IFERROR(
_xlfn.XLOOKUP(
A92,
tblCustomers[Customer ID],
tblCustomers[Full Name]
),
"")</f>
        <v>Women First Foundation</v>
      </c>
      <c r="C92" s="2">
        <f t="shared" ca="1" si="18"/>
        <v>46126</v>
      </c>
      <c r="D92" t="s">
        <v>466</v>
      </c>
      <c r="E92">
        <f t="shared" ca="1" si="19"/>
        <v>9125.08</v>
      </c>
      <c r="F92" t="str">
        <f>IFERROR(
_xlfn.XLOOKUP(
A92,
tblCustomers[Customer ID],
tblCustomers[Country]
),
"")</f>
        <v>Kenya</v>
      </c>
      <c r="G92" t="str">
        <f>IFERROR(
_xlfn.XLOOKUP(
A92,
tblCustomers[Customer ID],
tblCustomers[Delivery Channel]
),
"")</f>
        <v>Mobile App</v>
      </c>
      <c r="H92">
        <f>IFERROR(
_xlfn.XLOOKUP(
A92,
tblCustomers[Customer ID],
tblCustomers[Annual Income (USD)]
),
0)</f>
        <v>3380477</v>
      </c>
      <c r="I92">
        <f t="shared" ca="1" si="13"/>
        <v>0</v>
      </c>
      <c r="J92" t="str">
        <f t="shared" ca="1" si="14"/>
        <v>No</v>
      </c>
      <c r="K92" t="str">
        <f t="shared" ca="1" si="15"/>
        <v>No</v>
      </c>
      <c r="L92" t="str">
        <f>IF(
ISNUMBER(
MATCH(
G92,
tblHighRiskCountries[Country],
0)),
"Yes",
"No")</f>
        <v>No</v>
      </c>
      <c r="M92" t="str">
        <f t="shared" ca="1" si="16"/>
        <v>No</v>
      </c>
      <c r="N92" t="str">
        <f t="shared" ca="1" si="20"/>
        <v>Normal</v>
      </c>
      <c r="O92">
        <f t="shared" ca="1" si="21"/>
        <v>1</v>
      </c>
      <c r="P92" t="str">
        <f t="shared" ca="1" si="17"/>
        <v>No</v>
      </c>
    </row>
    <row r="93" spans="1:16" x14ac:dyDescent="0.25">
      <c r="A93" t="str">
        <f>IF(_xlfn.XLOOKUP(DueDiligenceRegister[[#This Row],[Customer ID]], DueDiligenceRegister[Customer ID], DueDiligenceRegister[Account Status])="Open Account", DueDiligenceRegister[[#This Row],[Customer ID]], "Ineligible / Rejected")</f>
        <v>C0092</v>
      </c>
      <c r="B93" t="str">
        <f>IFERROR(
_xlfn.XLOOKUP(
A93,
tblCustomers[Customer ID],
tblCustomers[Full Name]
),
"")</f>
        <v>Bright Future Foundation</v>
      </c>
      <c r="C93" s="2">
        <f t="shared" ca="1" si="18"/>
        <v>46163</v>
      </c>
      <c r="D93" t="s">
        <v>466</v>
      </c>
      <c r="E93">
        <f t="shared" ca="1" si="19"/>
        <v>11347.24</v>
      </c>
      <c r="F93" t="str">
        <f>IFERROR(
_xlfn.XLOOKUP(
A93,
tblCustomers[Customer ID],
tblCustomers[Country]
),
"")</f>
        <v>Kenya</v>
      </c>
      <c r="G93" t="str">
        <f>IFERROR(
_xlfn.XLOOKUP(
A93,
tblCustomers[Customer ID],
tblCustomers[Delivery Channel]
),
"")</f>
        <v>Online</v>
      </c>
      <c r="H93">
        <f>IFERROR(
_xlfn.XLOOKUP(
A93,
tblCustomers[Customer ID],
tblCustomers[Annual Income (USD)]
),
0)</f>
        <v>1762490</v>
      </c>
      <c r="I93">
        <f t="shared" ca="1" si="13"/>
        <v>0</v>
      </c>
      <c r="J93" t="str">
        <f t="shared" ca="1" si="14"/>
        <v>No</v>
      </c>
      <c r="K93" t="str">
        <f t="shared" ca="1" si="15"/>
        <v>No</v>
      </c>
      <c r="L93" t="str">
        <f>IF(
ISNUMBER(
MATCH(
G93,
tblHighRiskCountries[Country],
0)),
"Yes",
"No")</f>
        <v>No</v>
      </c>
      <c r="M93" t="str">
        <f t="shared" ca="1" si="16"/>
        <v>No</v>
      </c>
      <c r="N93" t="str">
        <f t="shared" ca="1" si="20"/>
        <v>Normal</v>
      </c>
      <c r="O93">
        <f t="shared" ca="1" si="21"/>
        <v>1</v>
      </c>
      <c r="P93" t="str">
        <f t="shared" ca="1" si="17"/>
        <v>No</v>
      </c>
    </row>
    <row r="94" spans="1:16" hidden="1" x14ac:dyDescent="0.25">
      <c r="A94" t="str">
        <f>IF(_xlfn.XLOOKUP(DueDiligenceRegister[[#This Row],[Customer ID]], DueDiligenceRegister[Customer ID], DueDiligenceRegister[Account Status])="Open Account", DueDiligenceRegister[[#This Row],[Customer ID]], "Ineligible / Rejected")</f>
        <v>Ineligible / Rejected</v>
      </c>
      <c r="B94" t="str">
        <f>IFERROR(
_xlfn.XLOOKUP(
A94,
tblCustomers[Customer ID],
tblCustomers[Full Name]
),
"")</f>
        <v/>
      </c>
      <c r="C94" s="2">
        <f t="shared" ca="1" si="18"/>
        <v>46088</v>
      </c>
      <c r="D94" t="s">
        <v>466</v>
      </c>
      <c r="E94">
        <f t="shared" ca="1" si="19"/>
        <v>9114.82</v>
      </c>
      <c r="F94" t="str">
        <f>IFERROR(
_xlfn.XLOOKUP(
A94,
tblCustomers[Customer ID],
tblCustomers[Country]
),
"")</f>
        <v/>
      </c>
      <c r="G94" t="str">
        <f>IFERROR(
_xlfn.XLOOKUP(
A94,
tblCustomers[Customer ID],
tblCustomers[Delivery Channel]
),
"")</f>
        <v/>
      </c>
      <c r="H94">
        <f>IFERROR(
_xlfn.XLOOKUP(
A94,
tblCustomers[Customer ID],
tblCustomers[Annual Income (USD)]
),
0)</f>
        <v>0</v>
      </c>
      <c r="I94">
        <f t="shared" ca="1" si="13"/>
        <v>6</v>
      </c>
      <c r="J94" t="str">
        <f t="shared" ca="1" si="14"/>
        <v>Yes</v>
      </c>
      <c r="K94" t="str">
        <f t="shared" ca="1" si="15"/>
        <v>No</v>
      </c>
      <c r="L94" t="str">
        <f>IF(
ISNUMBER(
MATCH(
G94,
tblHighRiskCountries[Country],
0)),
"Yes",
"No")</f>
        <v>No</v>
      </c>
      <c r="M94" t="str">
        <f t="shared" ca="1" si="16"/>
        <v>No</v>
      </c>
      <c r="N94" t="str">
        <f t="shared" ca="1" si="20"/>
        <v>Alert</v>
      </c>
      <c r="O94">
        <f t="shared" ca="1" si="21"/>
        <v>2</v>
      </c>
      <c r="P94" t="str">
        <f t="shared" ca="1" si="17"/>
        <v>No</v>
      </c>
    </row>
    <row r="95" spans="1:16" x14ac:dyDescent="0.25">
      <c r="A95" t="str">
        <f>IF(_xlfn.XLOOKUP(DueDiligenceRegister[[#This Row],[Customer ID]], DueDiligenceRegister[Customer ID], DueDiligenceRegister[Account Status])="Open Account", DueDiligenceRegister[[#This Row],[Customer ID]], "Ineligible / Rejected")</f>
        <v>C0094</v>
      </c>
      <c r="B95" t="str">
        <f>IFERROR(
_xlfn.XLOOKUP(
A95,
tblCustomers[Customer ID],
tblCustomers[Full Name]
),
"")</f>
        <v>Bright Future Foundation</v>
      </c>
      <c r="C95" s="2">
        <f t="shared" ca="1" si="18"/>
        <v>46076</v>
      </c>
      <c r="D95" t="s">
        <v>466</v>
      </c>
      <c r="E95">
        <f t="shared" ca="1" si="19"/>
        <v>2591.3000000000002</v>
      </c>
      <c r="F95" t="str">
        <f>IFERROR(
_xlfn.XLOOKUP(
A95,
tblCustomers[Customer ID],
tblCustomers[Country]
),
"")</f>
        <v>Ghana</v>
      </c>
      <c r="G95" t="str">
        <f>IFERROR(
_xlfn.XLOOKUP(
A95,
tblCustomers[Customer ID],
tblCustomers[Delivery Channel]
),
"")</f>
        <v>Relationship Manager</v>
      </c>
      <c r="H95">
        <f>IFERROR(
_xlfn.XLOOKUP(
A95,
tblCustomers[Customer ID],
tblCustomers[Annual Income (USD)]
),
0)</f>
        <v>3542623</v>
      </c>
      <c r="I95">
        <f t="shared" ca="1" si="13"/>
        <v>0</v>
      </c>
      <c r="J95" t="str">
        <f t="shared" ca="1" si="14"/>
        <v>No</v>
      </c>
      <c r="K95" t="str">
        <f t="shared" ca="1" si="15"/>
        <v>No</v>
      </c>
      <c r="L95" t="str">
        <f>IF(
ISNUMBER(
MATCH(
G95,
tblHighRiskCountries[Country],
0)),
"Yes",
"No")</f>
        <v>No</v>
      </c>
      <c r="M95" t="str">
        <f t="shared" ca="1" si="16"/>
        <v>No</v>
      </c>
      <c r="N95" t="str">
        <f t="shared" ca="1" si="20"/>
        <v>Normal</v>
      </c>
      <c r="O95">
        <f t="shared" ca="1" si="21"/>
        <v>1</v>
      </c>
      <c r="P95" t="str">
        <f t="shared" ca="1" si="17"/>
        <v>No</v>
      </c>
    </row>
    <row r="96" spans="1:16" x14ac:dyDescent="0.25">
      <c r="A96" t="str">
        <f>IF(_xlfn.XLOOKUP(DueDiligenceRegister[[#This Row],[Customer ID]], DueDiligenceRegister[Customer ID], DueDiligenceRegister[Account Status])="Open Account", DueDiligenceRegister[[#This Row],[Customer ID]], "Ineligible / Rejected")</f>
        <v>C0095</v>
      </c>
      <c r="B96" t="str">
        <f>IFERROR(
_xlfn.XLOOKUP(
A96,
tblCustomers[Customer ID],
tblCustomers[Full Name]
),
"")</f>
        <v>Health Access Foundation</v>
      </c>
      <c r="C96" s="2">
        <f t="shared" ca="1" si="18"/>
        <v>46165</v>
      </c>
      <c r="D96" t="s">
        <v>466</v>
      </c>
      <c r="E96">
        <f t="shared" ca="1" si="19"/>
        <v>6026.49</v>
      </c>
      <c r="F96" t="str">
        <f>IFERROR(
_xlfn.XLOOKUP(
A96,
tblCustomers[Customer ID],
tblCustomers[Country]
),
"")</f>
        <v>UAE</v>
      </c>
      <c r="G96" t="str">
        <f>IFERROR(
_xlfn.XLOOKUP(
A96,
tblCustomers[Customer ID],
tblCustomers[Delivery Channel]
),
"")</f>
        <v>Online</v>
      </c>
      <c r="H96">
        <f>IFERROR(
_xlfn.XLOOKUP(
A96,
tblCustomers[Customer ID],
tblCustomers[Annual Income (USD)]
),
0)</f>
        <v>583682</v>
      </c>
      <c r="I96">
        <f t="shared" ca="1" si="13"/>
        <v>0</v>
      </c>
      <c r="J96" t="str">
        <f t="shared" ca="1" si="14"/>
        <v>No</v>
      </c>
      <c r="K96" t="str">
        <f t="shared" ca="1" si="15"/>
        <v>No</v>
      </c>
      <c r="L96" t="str">
        <f>IF(
ISNUMBER(
MATCH(
G96,
tblHighRiskCountries[Country],
0)),
"Yes",
"No")</f>
        <v>No</v>
      </c>
      <c r="M96" t="str">
        <f t="shared" ca="1" si="16"/>
        <v>No</v>
      </c>
      <c r="N96" t="str">
        <f t="shared" ca="1" si="20"/>
        <v>Normal</v>
      </c>
      <c r="O96">
        <f t="shared" ca="1" si="21"/>
        <v>1</v>
      </c>
      <c r="P96" t="str">
        <f t="shared" ca="1" si="17"/>
        <v>No</v>
      </c>
    </row>
    <row r="97" spans="1:16" x14ac:dyDescent="0.25">
      <c r="A97" t="str">
        <f>IF(_xlfn.XLOOKUP(DueDiligenceRegister[[#This Row],[Customer ID]], DueDiligenceRegister[Customer ID], DueDiligenceRegister[Account Status])="Open Account", DueDiligenceRegister[[#This Row],[Customer ID]], "Ineligible / Rejected")</f>
        <v>C0096</v>
      </c>
      <c r="B97" t="str">
        <f>IFERROR(
_xlfn.XLOOKUP(
A97,
tblCustomers[Customer ID],
tblCustomers[Full Name]
),
"")</f>
        <v>Women First Foundation</v>
      </c>
      <c r="C97" s="2">
        <f t="shared" ca="1" si="18"/>
        <v>46207</v>
      </c>
      <c r="D97" t="s">
        <v>466</v>
      </c>
      <c r="E97">
        <f t="shared" ca="1" si="19"/>
        <v>10474.24</v>
      </c>
      <c r="F97" t="str">
        <f>IFERROR(
_xlfn.XLOOKUP(
A97,
tblCustomers[Customer ID],
tblCustomers[Country]
),
"")</f>
        <v>Ghana</v>
      </c>
      <c r="G97" t="str">
        <f>IFERROR(
_xlfn.XLOOKUP(
A97,
tblCustomers[Customer ID],
tblCustomers[Delivery Channel]
),
"")</f>
        <v>Mobile App</v>
      </c>
      <c r="H97">
        <f>IFERROR(
_xlfn.XLOOKUP(
A97,
tblCustomers[Customer ID],
tblCustomers[Annual Income (USD)]
),
0)</f>
        <v>3376135</v>
      </c>
      <c r="I97">
        <f t="shared" ca="1" si="13"/>
        <v>1</v>
      </c>
      <c r="J97" t="str">
        <f t="shared" ca="1" si="14"/>
        <v>No</v>
      </c>
      <c r="K97" t="str">
        <f t="shared" ca="1" si="15"/>
        <v>No</v>
      </c>
      <c r="L97" t="str">
        <f>IF(
ISNUMBER(
MATCH(
G97,
tblHighRiskCountries[Country],
0)),
"Yes",
"No")</f>
        <v>No</v>
      </c>
      <c r="M97" t="str">
        <f t="shared" ca="1" si="16"/>
        <v>No</v>
      </c>
      <c r="N97" t="str">
        <f t="shared" ca="1" si="20"/>
        <v>Normal</v>
      </c>
      <c r="O97">
        <f t="shared" ca="1" si="21"/>
        <v>1</v>
      </c>
      <c r="P97" t="str">
        <f t="shared" ca="1" si="17"/>
        <v>No</v>
      </c>
    </row>
    <row r="98" spans="1:16" hidden="1" x14ac:dyDescent="0.25">
      <c r="A98" t="str">
        <f>IF(_xlfn.XLOOKUP(DueDiligenceRegister[[#This Row],[Customer ID]], DueDiligenceRegister[Customer ID], DueDiligenceRegister[Account Status])="Open Account", DueDiligenceRegister[[#This Row],[Customer ID]], "Ineligible / Rejected")</f>
        <v>Ineligible / Rejected</v>
      </c>
      <c r="B98" t="str">
        <f>IFERROR(
_xlfn.XLOOKUP(
A98,
tblCustomers[Customer ID],
tblCustomers[Full Name]
),
"")</f>
        <v/>
      </c>
      <c r="C98" s="2">
        <f t="shared" ca="1" si="18"/>
        <v>46171</v>
      </c>
      <c r="D98" t="s">
        <v>466</v>
      </c>
      <c r="E98">
        <f t="shared" ca="1" si="19"/>
        <v>14891.56</v>
      </c>
      <c r="F98" t="str">
        <f>IFERROR(
_xlfn.XLOOKUP(
A98,
tblCustomers[Customer ID],
tblCustomers[Country]
),
"")</f>
        <v/>
      </c>
      <c r="G98" t="str">
        <f>IFERROR(
_xlfn.XLOOKUP(
A98,
tblCustomers[Customer ID],
tblCustomers[Delivery Channel]
),
"")</f>
        <v/>
      </c>
      <c r="H98">
        <f>IFERROR(
_xlfn.XLOOKUP(
A98,
tblCustomers[Customer ID],
tblCustomers[Annual Income (USD)]
),
0)</f>
        <v>0</v>
      </c>
      <c r="I98">
        <f t="shared" ca="1" si="13"/>
        <v>6</v>
      </c>
      <c r="J98" t="str">
        <f t="shared" ca="1" si="14"/>
        <v>Yes</v>
      </c>
      <c r="K98" t="str">
        <f t="shared" ca="1" si="15"/>
        <v>No</v>
      </c>
      <c r="L98" t="str">
        <f>IF(
ISNUMBER(
MATCH(
G98,
tblHighRiskCountries[Country],
0)),
"Yes",
"No")</f>
        <v>No</v>
      </c>
      <c r="M98" t="str">
        <f t="shared" ca="1" si="16"/>
        <v>No</v>
      </c>
      <c r="N98" t="str">
        <f t="shared" ca="1" si="20"/>
        <v>Alert</v>
      </c>
      <c r="O98">
        <f t="shared" ref="O98:O101" ca="1" si="22">_xlfn.IFS(N98="Normal",1,AND(J98="Yes",K98="No"),2,AND(K98="Yes",J98="No"),3,AND(J98="Yes",K98="Yes"),4,OR(L98="Yes",M98="Yes"),5)</f>
        <v>2</v>
      </c>
      <c r="P98" t="str">
        <f t="shared" ca="1" si="17"/>
        <v>No</v>
      </c>
    </row>
    <row r="99" spans="1:16" hidden="1" x14ac:dyDescent="0.25">
      <c r="A99" t="str">
        <f>IF(_xlfn.XLOOKUP(DueDiligenceRegister[[#This Row],[Customer ID]], DueDiligenceRegister[Customer ID], DueDiligenceRegister[Account Status])="Open Account", DueDiligenceRegister[[#This Row],[Customer ID]], "Ineligible / Rejected")</f>
        <v>Ineligible / Rejected</v>
      </c>
      <c r="B99" t="str">
        <f>IFERROR(
_xlfn.XLOOKUP(
A99,
tblCustomers[Customer ID],
tblCustomers[Full Name]
),
"")</f>
        <v/>
      </c>
      <c r="C99" s="2">
        <f t="shared" ca="1" si="18"/>
        <v>46151</v>
      </c>
      <c r="D99" t="s">
        <v>466</v>
      </c>
      <c r="E99">
        <f t="shared" ca="1" si="19"/>
        <v>9357.4699999999993</v>
      </c>
      <c r="F99" t="str">
        <f>IFERROR(
_xlfn.XLOOKUP(
A99,
tblCustomers[Customer ID],
tblCustomers[Country]
),
"")</f>
        <v/>
      </c>
      <c r="G99" t="str">
        <f>IFERROR(
_xlfn.XLOOKUP(
A99,
tblCustomers[Customer ID],
tblCustomers[Delivery Channel]
),
"")</f>
        <v/>
      </c>
      <c r="H99">
        <f>IFERROR(
_xlfn.XLOOKUP(
A99,
tblCustomers[Customer ID],
tblCustomers[Annual Income (USD)]
),
0)</f>
        <v>0</v>
      </c>
      <c r="I99">
        <f t="shared" ca="1" si="13"/>
        <v>6</v>
      </c>
      <c r="J99" t="str">
        <f t="shared" ca="1" si="14"/>
        <v>Yes</v>
      </c>
      <c r="K99" t="str">
        <f t="shared" ca="1" si="15"/>
        <v>No</v>
      </c>
      <c r="L99" t="str">
        <f>IF(
ISNUMBER(
MATCH(
G99,
tblHighRiskCountries[Country],
0)),
"Yes",
"No")</f>
        <v>No</v>
      </c>
      <c r="M99" t="str">
        <f t="shared" ca="1" si="16"/>
        <v>No</v>
      </c>
      <c r="N99" t="str">
        <f t="shared" ca="1" si="20"/>
        <v>Alert</v>
      </c>
      <c r="O99">
        <f t="shared" ca="1" si="22"/>
        <v>2</v>
      </c>
      <c r="P99" t="str">
        <f t="shared" ca="1" si="17"/>
        <v>No</v>
      </c>
    </row>
    <row r="100" spans="1:16" x14ac:dyDescent="0.25">
      <c r="A100" t="str">
        <f>IF(_xlfn.XLOOKUP(DueDiligenceRegister[[#This Row],[Customer ID]], DueDiligenceRegister[Customer ID], DueDiligenceRegister[Account Status])="Open Account", DueDiligenceRegister[[#This Row],[Customer ID]], "Ineligible / Rejected")</f>
        <v>C0099</v>
      </c>
      <c r="B100" t="str">
        <f>IFERROR(
_xlfn.XLOOKUP(
A100,
tblCustomers[Customer ID],
tblCustomers[Full Name]
),
"")</f>
        <v>Women First Foundation</v>
      </c>
      <c r="C100" s="2">
        <f t="shared" ca="1" si="18"/>
        <v>46165</v>
      </c>
      <c r="D100" t="s">
        <v>466</v>
      </c>
      <c r="E100">
        <f t="shared" ca="1" si="19"/>
        <v>5135.08</v>
      </c>
      <c r="F100" t="str">
        <f>IFERROR(
_xlfn.XLOOKUP(
A100,
tblCustomers[Customer ID],
tblCustomers[Country]
),
"")</f>
        <v>Canada</v>
      </c>
      <c r="G100" t="str">
        <f>IFERROR(
_xlfn.XLOOKUP(
A100,
tblCustomers[Customer ID],
tblCustomers[Delivery Channel]
),
"")</f>
        <v>Branch</v>
      </c>
      <c r="H100">
        <f>IFERROR(
_xlfn.XLOOKUP(
A100,
tblCustomers[Customer ID],
tblCustomers[Annual Income (USD)]
),
0)</f>
        <v>178741</v>
      </c>
      <c r="I100">
        <f t="shared" ca="1" si="13"/>
        <v>0</v>
      </c>
      <c r="J100" t="str">
        <f t="shared" ca="1" si="14"/>
        <v>No</v>
      </c>
      <c r="K100" t="str">
        <f t="shared" ca="1" si="15"/>
        <v>No</v>
      </c>
      <c r="L100" t="str">
        <f>IF(
ISNUMBER(
MATCH(
G100,
tblHighRiskCountries[Country],
0)),
"Yes",
"No")</f>
        <v>No</v>
      </c>
      <c r="M100" t="str">
        <f t="shared" ca="1" si="16"/>
        <v>No</v>
      </c>
      <c r="N100" t="str">
        <f t="shared" ca="1" si="20"/>
        <v>Normal</v>
      </c>
      <c r="O100">
        <f t="shared" ca="1" si="22"/>
        <v>1</v>
      </c>
      <c r="P100" t="str">
        <f t="shared" ca="1" si="17"/>
        <v>No</v>
      </c>
    </row>
    <row r="101" spans="1:16" x14ac:dyDescent="0.25">
      <c r="A101" t="str">
        <f>IF(_xlfn.XLOOKUP(DueDiligenceRegister[[#This Row],[Customer ID]], DueDiligenceRegister[Customer ID], DueDiligenceRegister[Account Status])="Open Account", DueDiligenceRegister[[#This Row],[Customer ID]], "Ineligible / Rejected")</f>
        <v>C0100</v>
      </c>
      <c r="B101" t="str">
        <f>IFERROR(
_xlfn.XLOOKUP(
A101,
tblCustomers[Customer ID],
tblCustomers[Full Name]
),
"")</f>
        <v>Bright Future Foundation</v>
      </c>
      <c r="C101" s="2">
        <f t="shared" ca="1" si="18"/>
        <v>46088</v>
      </c>
      <c r="D101" t="s">
        <v>466</v>
      </c>
      <c r="E101">
        <f t="shared" ca="1" si="19"/>
        <v>2843.96</v>
      </c>
      <c r="F101" t="str">
        <f>IFERROR(
_xlfn.XLOOKUP(
A101,
tblCustomers[Customer ID],
tblCustomers[Country]
),
"")</f>
        <v>South Africa</v>
      </c>
      <c r="G101" t="str">
        <f>IFERROR(
_xlfn.XLOOKUP(
A101,
tblCustomers[Customer ID],
tblCustomers[Delivery Channel]
),
"")</f>
        <v>Relationship Manager</v>
      </c>
      <c r="H101">
        <f>IFERROR(
_xlfn.XLOOKUP(
A101,
tblCustomers[Customer ID],
tblCustomers[Annual Income (USD)]
),
0)</f>
        <v>142676</v>
      </c>
      <c r="I101">
        <f t="shared" ca="1" si="13"/>
        <v>0</v>
      </c>
      <c r="J101" t="str">
        <f t="shared" ca="1" si="14"/>
        <v>No</v>
      </c>
      <c r="K101" t="str">
        <f t="shared" ca="1" si="15"/>
        <v>No</v>
      </c>
      <c r="L101" t="str">
        <f>IF(
ISNUMBER(
MATCH(
G101,
tblHighRiskCountries[Country],
0)),
"Yes",
"No")</f>
        <v>No</v>
      </c>
      <c r="M101" t="str">
        <f t="shared" ca="1" si="16"/>
        <v>No</v>
      </c>
      <c r="N101" t="str">
        <f t="shared" ca="1" si="20"/>
        <v>Normal</v>
      </c>
      <c r="O101">
        <f t="shared" ca="1" si="22"/>
        <v>1</v>
      </c>
      <c r="P101" t="str">
        <f t="shared" ca="1" si="17"/>
        <v>No</v>
      </c>
    </row>
  </sheetData>
  <phoneticPr fontId="2" type="noConversion"/>
  <conditionalFormatting sqref="P1:P1048576">
    <cfRule type="containsText" dxfId="8" priority="4" operator="containsText" text="Yes">
      <formula>NOT(ISERROR(SEARCH("Yes",P1)))</formula>
    </cfRule>
    <cfRule type="containsText" dxfId="7" priority="5" operator="containsText" text="No">
      <formula>NOT(ISERROR(SEARCH("No",P1)))</formula>
    </cfRule>
  </conditionalFormatting>
  <conditionalFormatting sqref="N1:N1048576">
    <cfRule type="containsText" dxfId="6" priority="2" operator="containsText" text="Alert ">
      <formula>NOT(ISERROR(SEARCH("Alert ",N1)))</formula>
    </cfRule>
    <cfRule type="containsText" dxfId="5" priority="3" operator="containsText" text="Normal">
      <formula>NOT(ISERROR(SEARCH("Normal",N1)))</formula>
    </cfRule>
  </conditionalFormatting>
  <conditionalFormatting sqref="N2:N101">
    <cfRule type="containsText" dxfId="4" priority="1" operator="containsText" text="Alert">
      <formula>NOT(ISERROR(SEARCH("Alert",N2)))</formula>
    </cfRule>
  </conditionalFormatting>
  <pageMargins left="0.7" right="0.7" top="0.75" bottom="0.75" header="0.3" footer="0.3"/>
  <ignoredErrors>
    <ignoredError sqref="D12" calculatedColumn="1"/>
  </ignoredErrors>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70E2130-1366-41CB-85EC-14625A0C3B91}">
          <x14:formula1>
            <xm:f>'Lookup Table'!$AC$2:$AC$11</xm:f>
          </x14:formula1>
          <xm:sqref>D1:D1048576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67C3A-011F-463C-8BB6-EA1FEEB024D0}">
  <dimension ref="A1:L40"/>
  <sheetViews>
    <sheetView showGridLines="0" zoomScale="85" zoomScaleNormal="85" workbookViewId="0">
      <selection activeCell="J4" sqref="J4"/>
    </sheetView>
  </sheetViews>
  <sheetFormatPr defaultRowHeight="15" x14ac:dyDescent="0.25"/>
  <cols>
    <col min="1" max="1" width="17.85546875" customWidth="1"/>
    <col min="3" max="3" width="19.42578125" bestFit="1" customWidth="1"/>
    <col min="5" max="5" width="14.28515625" bestFit="1" customWidth="1"/>
    <col min="7" max="7" width="14.5703125" bestFit="1" customWidth="1"/>
    <col min="9" max="9" width="15.42578125" customWidth="1"/>
    <col min="11" max="11" width="14.85546875" bestFit="1" customWidth="1"/>
  </cols>
  <sheetData>
    <row r="1" spans="1:12" ht="26.25" x14ac:dyDescent="0.4">
      <c r="A1" s="17" t="s">
        <v>471</v>
      </c>
      <c r="B1" s="18"/>
      <c r="C1" s="18"/>
      <c r="D1" s="18"/>
      <c r="E1" s="18"/>
      <c r="F1" s="18"/>
      <c r="G1" s="18"/>
      <c r="H1" s="18"/>
    </row>
    <row r="3" spans="1:12" x14ac:dyDescent="0.25">
      <c r="A3" s="3" t="s">
        <v>472</v>
      </c>
      <c r="B3" s="5">
        <f>ROWS(tblCustomers[Customer ID])</f>
        <v>100</v>
      </c>
      <c r="C3" s="3" t="s">
        <v>473</v>
      </c>
      <c r="D3" s="5">
        <f>COUNTIF(RiskMatrix[Risk Rating],"High")+COUNTIF(RiskMatrix[Risk Rating],"Very High")</f>
        <v>5</v>
      </c>
      <c r="E3" s="4" t="s">
        <v>474</v>
      </c>
      <c r="F3" s="5">
        <f>COUNTIF(tblScreening[PEP],"Yes")</f>
        <v>29</v>
      </c>
      <c r="G3" s="3" t="s">
        <v>475</v>
      </c>
      <c r="H3" s="5">
        <f>COUNTIF(RiskMatrix[Due Diligence Tier],"EDD")</f>
        <v>20</v>
      </c>
      <c r="I3" s="3" t="s">
        <v>476</v>
      </c>
      <c r="J3" s="5">
        <f ca="1">COUNTIF(TransactionMonitoring[Overall Alert],"Alert")</f>
        <v>20</v>
      </c>
      <c r="K3" s="3" t="s">
        <v>477</v>
      </c>
      <c r="L3" s="5">
        <f ca="1">COUNTIF(TransactionMonitoring[Escalation Required],"Yes")</f>
        <v>0</v>
      </c>
    </row>
    <row r="4" spans="1:12" x14ac:dyDescent="0.25">
      <c r="A4" s="3"/>
      <c r="B4" s="5"/>
      <c r="C4" s="3"/>
      <c r="D4" s="5"/>
      <c r="E4" s="3"/>
      <c r="F4" s="5"/>
      <c r="G4" s="3"/>
      <c r="H4" s="5"/>
      <c r="I4" s="3"/>
      <c r="J4" s="5"/>
      <c r="K4" s="3"/>
      <c r="L4" s="5"/>
    </row>
    <row r="8" spans="1:12" x14ac:dyDescent="0.25">
      <c r="A8" t="s">
        <v>406</v>
      </c>
      <c r="B8" t="s">
        <v>478</v>
      </c>
      <c r="I8" t="s">
        <v>415</v>
      </c>
      <c r="J8" t="s">
        <v>478</v>
      </c>
    </row>
    <row r="9" spans="1:12" x14ac:dyDescent="0.25">
      <c r="A9" t="s">
        <v>416</v>
      </c>
      <c r="B9">
        <f>COUNTIF(RiskMatrix[Risk Rating],"Low")</f>
        <v>42</v>
      </c>
      <c r="I9" t="s">
        <v>417</v>
      </c>
      <c r="J9">
        <f>COUNTIF(RiskMatrix[Due Diligence Tier],"SDD")</f>
        <v>37</v>
      </c>
    </row>
    <row r="10" spans="1:12" x14ac:dyDescent="0.25">
      <c r="A10" t="s">
        <v>418</v>
      </c>
      <c r="B10">
        <f>COUNTIF(RiskMatrix[Risk Rating],"Medium")</f>
        <v>53</v>
      </c>
      <c r="I10" t="s">
        <v>419</v>
      </c>
      <c r="J10">
        <f>COUNTIF(RiskMatrix[Due Diligence Tier],"CDD")</f>
        <v>43</v>
      </c>
    </row>
    <row r="11" spans="1:12" x14ac:dyDescent="0.25">
      <c r="A11" t="s">
        <v>420</v>
      </c>
      <c r="B11">
        <f>COUNTIF(RiskMatrix[Risk Rating],"High")</f>
        <v>5</v>
      </c>
      <c r="I11" t="s">
        <v>421</v>
      </c>
      <c r="J11">
        <f>COUNTIF(RiskMatrix[Due Diligence Tier],"EDD")</f>
        <v>20</v>
      </c>
    </row>
    <row r="12" spans="1:12" x14ac:dyDescent="0.25">
      <c r="A12" t="s">
        <v>422</v>
      </c>
      <c r="B12">
        <f>COUNTIF(RiskMatrix[Risk Rating],"Very High")</f>
        <v>0</v>
      </c>
    </row>
    <row r="20" spans="1:10" x14ac:dyDescent="0.25">
      <c r="A20" t="s">
        <v>384</v>
      </c>
      <c r="B20" t="s">
        <v>478</v>
      </c>
      <c r="I20" t="s">
        <v>480</v>
      </c>
      <c r="J20" t="s">
        <v>478</v>
      </c>
    </row>
    <row r="21" spans="1:10" x14ac:dyDescent="0.25">
      <c r="A21" t="s">
        <v>479</v>
      </c>
      <c r="B21">
        <f>COUNTIF(tblScreening[Screening Result],"Clear")</f>
        <v>48</v>
      </c>
      <c r="I21" t="s">
        <v>481</v>
      </c>
      <c r="J21">
        <f ca="1">COUNTIF(TransactionMonitoring[Overall Alert],"Normal")</f>
        <v>80</v>
      </c>
    </row>
    <row r="22" spans="1:10" x14ac:dyDescent="0.25">
      <c r="A22" t="s">
        <v>378</v>
      </c>
      <c r="B22">
        <f>COUNTIF(tblScreening[Screening Result],"Review")</f>
        <v>39</v>
      </c>
      <c r="I22" t="s">
        <v>482</v>
      </c>
      <c r="J22">
        <f ca="1">COUNTIF(TransactionMonitoring[Overall Alert],"Alert")</f>
        <v>20</v>
      </c>
    </row>
    <row r="23" spans="1:10" x14ac:dyDescent="0.25">
      <c r="A23" t="s">
        <v>379</v>
      </c>
      <c r="B23">
        <f>COUNTIF(tblScreening[Screening Result],"EDD Review")</f>
        <v>6</v>
      </c>
      <c r="I23" t="s">
        <v>483</v>
      </c>
      <c r="J23">
        <f ca="1">COUNTIF(TransactionMonitoring[Overall Alert],"Critical")</f>
        <v>0</v>
      </c>
    </row>
    <row r="24" spans="1:10" x14ac:dyDescent="0.25">
      <c r="A24" t="s">
        <v>380</v>
      </c>
      <c r="B24">
        <f>COUNTIF(tblScreening[Screening Result],"Reject")</f>
        <v>7</v>
      </c>
    </row>
    <row r="36" spans="1:2" x14ac:dyDescent="0.25">
      <c r="A36" t="s">
        <v>423</v>
      </c>
      <c r="B36" t="s">
        <v>478</v>
      </c>
    </row>
    <row r="37" spans="1:2" x14ac:dyDescent="0.25">
      <c r="A37" t="s">
        <v>437</v>
      </c>
      <c r="B37">
        <f>COUNTIF(DueDiligenceRegister[Final Decision],"Approved")</f>
        <v>80</v>
      </c>
    </row>
    <row r="38" spans="1:2" x14ac:dyDescent="0.25">
      <c r="A38" t="s">
        <v>439</v>
      </c>
      <c r="B38">
        <f>COUNTIF(DueDiligenceRegister[Final Decision],"Rejected")</f>
        <v>7</v>
      </c>
    </row>
    <row r="39" spans="1:2" x14ac:dyDescent="0.25">
      <c r="A39" t="s">
        <v>445</v>
      </c>
      <c r="B39">
        <f>COUNTIF(DueDiligenceRegister[Final Decision],"Escalated")</f>
        <v>13</v>
      </c>
    </row>
    <row r="40" spans="1:2" x14ac:dyDescent="0.25">
      <c r="A40" t="s">
        <v>261</v>
      </c>
      <c r="B40">
        <f>COUNTIF(DueDiligenceRegister[Final Decision],"Pending")</f>
        <v>0</v>
      </c>
    </row>
  </sheetData>
  <mergeCells count="1">
    <mergeCell ref="A1:H1"/>
  </mergeCells>
  <pageMargins left="0.7" right="0.7" top="0.75" bottom="0.75" header="0.3" footer="0.3"/>
  <pageSetup orientation="portrait" r:id="rId1"/>
  <drawing r:id="rId2"/>
  <tableParts count="5">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9C867-C9E4-44FD-B421-B7D4CCE08C53}">
  <dimension ref="A1:AC19"/>
  <sheetViews>
    <sheetView topLeftCell="K1" workbookViewId="0">
      <selection activeCell="T4" sqref="T4"/>
    </sheetView>
  </sheetViews>
  <sheetFormatPr defaultRowHeight="15" x14ac:dyDescent="0.25"/>
  <cols>
    <col min="1" max="1" width="22.5703125" bestFit="1" customWidth="1"/>
    <col min="2" max="2" width="12.140625" bestFit="1" customWidth="1"/>
    <col min="4" max="4" width="22.5703125" bestFit="1" customWidth="1"/>
    <col min="5" max="5" width="12" customWidth="1"/>
    <col min="7" max="7" width="20.7109375" bestFit="1" customWidth="1"/>
    <col min="8" max="8" width="12" customWidth="1"/>
    <col min="10" max="10" width="20.5703125" bestFit="1" customWidth="1"/>
    <col min="11" max="11" width="12" customWidth="1"/>
    <col min="13" max="13" width="20.7109375" bestFit="1" customWidth="1"/>
    <col min="14" max="14" width="12.140625" bestFit="1" customWidth="1"/>
    <col min="16" max="16" width="17.5703125" bestFit="1" customWidth="1"/>
    <col min="17" max="17" width="12.140625" bestFit="1" customWidth="1"/>
    <col min="19" max="19" width="12.7109375" customWidth="1"/>
    <col min="20" max="20" width="15.42578125" customWidth="1"/>
    <col min="22" max="22" width="15.42578125" customWidth="1"/>
    <col min="23" max="23" width="10.7109375" customWidth="1"/>
    <col min="25" max="25" width="18.140625" bestFit="1" customWidth="1"/>
    <col min="27" max="27" width="11.7109375" bestFit="1" customWidth="1"/>
    <col min="29" max="29" width="20.5703125" bestFit="1" customWidth="1"/>
  </cols>
  <sheetData>
    <row r="1" spans="1:29" x14ac:dyDescent="0.25">
      <c r="A1" t="s">
        <v>2</v>
      </c>
      <c r="B1" t="s">
        <v>366</v>
      </c>
      <c r="D1" t="s">
        <v>4</v>
      </c>
      <c r="E1" t="s">
        <v>366</v>
      </c>
      <c r="G1" t="s">
        <v>371</v>
      </c>
      <c r="H1" t="s">
        <v>366</v>
      </c>
      <c r="J1" t="s">
        <v>372</v>
      </c>
      <c r="K1" t="s">
        <v>366</v>
      </c>
      <c r="M1" t="s">
        <v>384</v>
      </c>
      <c r="N1" t="s">
        <v>366</v>
      </c>
      <c r="P1" t="s">
        <v>375</v>
      </c>
      <c r="Q1" t="s">
        <v>366</v>
      </c>
      <c r="S1" t="s">
        <v>406</v>
      </c>
      <c r="T1" t="s">
        <v>415</v>
      </c>
      <c r="V1" t="s">
        <v>415</v>
      </c>
      <c r="W1" t="s">
        <v>423</v>
      </c>
      <c r="Y1" t="s">
        <v>428</v>
      </c>
      <c r="AA1" t="s">
        <v>4</v>
      </c>
      <c r="AC1" t="s">
        <v>451</v>
      </c>
    </row>
    <row r="2" spans="1:29" x14ac:dyDescent="0.25">
      <c r="A2" t="s">
        <v>12</v>
      </c>
      <c r="B2">
        <v>2</v>
      </c>
      <c r="D2" t="s">
        <v>13</v>
      </c>
      <c r="E2">
        <v>2</v>
      </c>
      <c r="G2" t="s">
        <v>24</v>
      </c>
      <c r="H2">
        <v>1</v>
      </c>
      <c r="J2" t="s">
        <v>17</v>
      </c>
      <c r="K2">
        <v>1</v>
      </c>
      <c r="M2" t="s">
        <v>377</v>
      </c>
      <c r="N2">
        <v>1</v>
      </c>
      <c r="P2" t="s">
        <v>28</v>
      </c>
      <c r="Q2">
        <v>1</v>
      </c>
      <c r="S2" t="s">
        <v>416</v>
      </c>
      <c r="T2" t="s">
        <v>417</v>
      </c>
      <c r="V2" t="s">
        <v>417</v>
      </c>
      <c r="W2" t="s">
        <v>424</v>
      </c>
      <c r="Y2" t="s">
        <v>261</v>
      </c>
      <c r="AA2" t="s">
        <v>369</v>
      </c>
      <c r="AC2" t="s">
        <v>461</v>
      </c>
    </row>
    <row r="3" spans="1:29" x14ac:dyDescent="0.25">
      <c r="A3" t="s">
        <v>186</v>
      </c>
      <c r="B3">
        <v>3</v>
      </c>
      <c r="D3" t="s">
        <v>21</v>
      </c>
      <c r="E3">
        <v>2</v>
      </c>
      <c r="G3" t="s">
        <v>38</v>
      </c>
      <c r="H3">
        <v>2</v>
      </c>
      <c r="J3" t="s">
        <v>54</v>
      </c>
      <c r="K3">
        <v>2</v>
      </c>
      <c r="M3" t="s">
        <v>378</v>
      </c>
      <c r="N3">
        <v>3</v>
      </c>
      <c r="P3" t="s">
        <v>33</v>
      </c>
      <c r="Q3">
        <v>1</v>
      </c>
      <c r="S3" t="s">
        <v>418</v>
      </c>
      <c r="T3" t="s">
        <v>419</v>
      </c>
      <c r="V3" t="s">
        <v>419</v>
      </c>
      <c r="W3" t="s">
        <v>424</v>
      </c>
      <c r="Y3" t="s">
        <v>442</v>
      </c>
      <c r="AA3" t="s">
        <v>370</v>
      </c>
      <c r="AC3" t="s">
        <v>462</v>
      </c>
    </row>
    <row r="4" spans="1:29" x14ac:dyDescent="0.25">
      <c r="A4" t="s">
        <v>229</v>
      </c>
      <c r="B4">
        <v>4</v>
      </c>
      <c r="D4" t="s">
        <v>22</v>
      </c>
      <c r="E4">
        <v>2</v>
      </c>
      <c r="G4" t="s">
        <v>16</v>
      </c>
      <c r="H4">
        <v>3</v>
      </c>
      <c r="J4" t="s">
        <v>30</v>
      </c>
      <c r="K4">
        <v>3</v>
      </c>
      <c r="M4" t="s">
        <v>379</v>
      </c>
      <c r="N4">
        <v>5</v>
      </c>
      <c r="P4" t="s">
        <v>381</v>
      </c>
      <c r="Q4">
        <v>1</v>
      </c>
      <c r="S4" t="s">
        <v>420</v>
      </c>
      <c r="T4" t="s">
        <v>421</v>
      </c>
      <c r="V4" t="s">
        <v>421</v>
      </c>
      <c r="W4" t="s">
        <v>425</v>
      </c>
      <c r="Y4" t="s">
        <v>443</v>
      </c>
      <c r="AA4" t="s">
        <v>447</v>
      </c>
      <c r="AC4" t="s">
        <v>463</v>
      </c>
    </row>
    <row r="5" spans="1:29" x14ac:dyDescent="0.25">
      <c r="A5" t="s">
        <v>367</v>
      </c>
      <c r="B5">
        <v>5</v>
      </c>
      <c r="D5" t="s">
        <v>14</v>
      </c>
      <c r="E5">
        <v>2</v>
      </c>
      <c r="G5" t="s">
        <v>46</v>
      </c>
      <c r="H5">
        <v>2</v>
      </c>
      <c r="J5" t="s">
        <v>47</v>
      </c>
      <c r="K5">
        <v>3</v>
      </c>
      <c r="M5" t="s">
        <v>380</v>
      </c>
      <c r="N5">
        <v>10</v>
      </c>
      <c r="P5" t="s">
        <v>64</v>
      </c>
      <c r="Q5">
        <v>2</v>
      </c>
      <c r="S5" t="s">
        <v>422</v>
      </c>
      <c r="T5" t="s">
        <v>421</v>
      </c>
      <c r="Y5" t="s">
        <v>444</v>
      </c>
      <c r="AA5" t="s">
        <v>448</v>
      </c>
      <c r="AC5" t="s">
        <v>464</v>
      </c>
    </row>
    <row r="6" spans="1:29" x14ac:dyDescent="0.25">
      <c r="A6" t="s">
        <v>407</v>
      </c>
      <c r="B6">
        <v>3</v>
      </c>
      <c r="D6" t="s">
        <v>27</v>
      </c>
      <c r="E6">
        <v>1</v>
      </c>
      <c r="G6" t="s">
        <v>75</v>
      </c>
      <c r="H6">
        <v>4</v>
      </c>
      <c r="J6" t="s">
        <v>373</v>
      </c>
      <c r="K6">
        <v>4</v>
      </c>
      <c r="M6" t="s">
        <v>408</v>
      </c>
      <c r="N6">
        <v>3</v>
      </c>
      <c r="P6" t="s">
        <v>127</v>
      </c>
      <c r="Q6">
        <v>1</v>
      </c>
      <c r="Y6" t="s">
        <v>445</v>
      </c>
      <c r="AA6" t="s">
        <v>449</v>
      </c>
      <c r="AC6" t="s">
        <v>465</v>
      </c>
    </row>
    <row r="7" spans="1:29" x14ac:dyDescent="0.25">
      <c r="D7" t="s">
        <v>41</v>
      </c>
      <c r="E7">
        <v>1</v>
      </c>
      <c r="G7" t="s">
        <v>29</v>
      </c>
      <c r="H7">
        <v>3</v>
      </c>
      <c r="J7" t="s">
        <v>374</v>
      </c>
      <c r="K7">
        <v>5</v>
      </c>
      <c r="P7" t="s">
        <v>45</v>
      </c>
      <c r="Q7">
        <v>1</v>
      </c>
      <c r="AA7" t="s">
        <v>13</v>
      </c>
      <c r="AC7" t="s">
        <v>466</v>
      </c>
    </row>
    <row r="8" spans="1:29" x14ac:dyDescent="0.25">
      <c r="D8" t="s">
        <v>44</v>
      </c>
      <c r="E8">
        <v>1</v>
      </c>
      <c r="G8" t="s">
        <v>407</v>
      </c>
      <c r="H8">
        <v>3</v>
      </c>
      <c r="J8" t="s">
        <v>407</v>
      </c>
      <c r="K8">
        <v>3</v>
      </c>
      <c r="P8" t="s">
        <v>376</v>
      </c>
      <c r="Q8">
        <v>4</v>
      </c>
      <c r="AC8" t="s">
        <v>467</v>
      </c>
    </row>
    <row r="9" spans="1:29" x14ac:dyDescent="0.25">
      <c r="D9" t="s">
        <v>368</v>
      </c>
      <c r="E9">
        <v>1</v>
      </c>
      <c r="P9" t="s">
        <v>382</v>
      </c>
      <c r="Q9">
        <v>3</v>
      </c>
      <c r="AC9" t="s">
        <v>468</v>
      </c>
    </row>
    <row r="10" spans="1:29" x14ac:dyDescent="0.25">
      <c r="D10" t="s">
        <v>36</v>
      </c>
      <c r="E10">
        <v>3</v>
      </c>
      <c r="P10" t="s">
        <v>383</v>
      </c>
      <c r="Q10">
        <v>2</v>
      </c>
      <c r="AC10" t="s">
        <v>469</v>
      </c>
    </row>
    <row r="11" spans="1:29" x14ac:dyDescent="0.25">
      <c r="D11" t="s">
        <v>369</v>
      </c>
      <c r="E11">
        <v>5</v>
      </c>
      <c r="P11" t="s">
        <v>72</v>
      </c>
      <c r="Q11">
        <v>1</v>
      </c>
      <c r="AC11" t="s">
        <v>470</v>
      </c>
    </row>
    <row r="12" spans="1:29" x14ac:dyDescent="0.25">
      <c r="D12" t="s">
        <v>370</v>
      </c>
      <c r="E12">
        <v>5</v>
      </c>
      <c r="P12" t="s">
        <v>37</v>
      </c>
      <c r="Q12">
        <v>1</v>
      </c>
    </row>
    <row r="13" spans="1:29" x14ac:dyDescent="0.25">
      <c r="D13" t="s">
        <v>407</v>
      </c>
      <c r="E13">
        <v>3</v>
      </c>
      <c r="P13" t="s">
        <v>58</v>
      </c>
      <c r="Q13">
        <v>1</v>
      </c>
    </row>
    <row r="14" spans="1:29" x14ac:dyDescent="0.25">
      <c r="P14" t="s">
        <v>69</v>
      </c>
      <c r="Q14">
        <v>2</v>
      </c>
    </row>
    <row r="15" spans="1:29" x14ac:dyDescent="0.25">
      <c r="P15" t="s">
        <v>15</v>
      </c>
      <c r="Q15">
        <v>1</v>
      </c>
    </row>
    <row r="16" spans="1:29" x14ac:dyDescent="0.25">
      <c r="P16" t="s">
        <v>122</v>
      </c>
      <c r="Q16">
        <v>1</v>
      </c>
    </row>
    <row r="17" spans="16:17" x14ac:dyDescent="0.25">
      <c r="P17" t="s">
        <v>93</v>
      </c>
      <c r="Q17">
        <v>3</v>
      </c>
    </row>
    <row r="18" spans="16:17" x14ac:dyDescent="0.25">
      <c r="P18" t="s">
        <v>105</v>
      </c>
      <c r="Q18">
        <v>3</v>
      </c>
    </row>
    <row r="19" spans="16:17" x14ac:dyDescent="0.25">
      <c r="P19" t="s">
        <v>407</v>
      </c>
      <c r="Q19">
        <v>3</v>
      </c>
    </row>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Customer Master</vt:lpstr>
      <vt:lpstr>CIP Verification</vt:lpstr>
      <vt:lpstr>Screening Register</vt:lpstr>
      <vt:lpstr>Risk Matrix</vt:lpstr>
      <vt:lpstr>Due Diligence Register</vt:lpstr>
      <vt:lpstr>Transaction Monitoring</vt:lpstr>
      <vt:lpstr>Dashboard</vt:lpstr>
      <vt:lpstr>Lookup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Abdulmuizz Abdulrazaq</cp:lastModifiedBy>
  <dcterms:created xsi:type="dcterms:W3CDTF">2026-07-25T12:20:00Z</dcterms:created>
  <dcterms:modified xsi:type="dcterms:W3CDTF">2026-07-31T14:52:30Z</dcterms:modified>
</cp:coreProperties>
</file>