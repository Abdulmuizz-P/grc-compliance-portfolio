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uiz\Documents\PERSONAL\Compliance\Portfolio and Mock Projects\"/>
    </mc:Choice>
  </mc:AlternateContent>
  <xr:revisionPtr revIDLastSave="0" documentId="13_ncr:1_{6E6612F9-1F09-4550-B156-F6AB90BA3D1C}" xr6:coauthVersionLast="47" xr6:coauthVersionMax="47" xr10:uidLastSave="{00000000-0000-0000-0000-000000000000}"/>
  <bookViews>
    <workbookView xWindow="-120" yWindow="-120" windowWidth="20730" windowHeight="11760" xr2:uid="{8482CBD0-A850-44F8-B97C-FAE7AD7A0EF4}"/>
  </bookViews>
  <sheets>
    <sheet name="Project Overview" sheetId="1" r:id="rId1"/>
    <sheet name="Vendor Register" sheetId="2" r:id="rId2"/>
    <sheet name="Vendor Due Diligence and Risk" sheetId="5" r:id="rId3"/>
    <sheet name="Executive Dashboardd" sheetId="7" r:id="rId4"/>
    <sheet name="Look up Table"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 i="5" l="1" a="1"/>
  <c r="O2" i="5" s="1"/>
  <c r="S2" i="2"/>
  <c r="T2" i="2" s="1" a="1"/>
  <c r="T2" i="2" s="1"/>
  <c r="U2" i="2" a="1"/>
  <c r="U2" i="2" s="1"/>
  <c r="B3" i="7" l="1"/>
  <c r="D3" i="7"/>
  <c r="J3" i="7"/>
  <c r="F3" i="7" l="1"/>
  <c r="B10" i="7"/>
  <c r="B9" i="7"/>
  <c r="B8" i="7"/>
  <c r="P4" i="5" l="1" a="1"/>
  <c r="P4" i="5" s="1"/>
  <c r="N11" i="5"/>
  <c r="O4" i="5" a="1"/>
  <c r="O4" i="5" s="1"/>
  <c r="O3" i="5" a="1"/>
  <c r="O3" i="5" s="1"/>
  <c r="O5" i="5" a="1"/>
  <c r="O5" i="5" s="1"/>
  <c r="O6" i="5" a="1"/>
  <c r="O6" i="5" s="1"/>
  <c r="O7" i="5" a="1"/>
  <c r="O7" i="5" s="1"/>
  <c r="O8" i="5" a="1"/>
  <c r="O8" i="5" s="1"/>
  <c r="O9" i="5" a="1"/>
  <c r="O9" i="5" s="1"/>
  <c r="O10" i="5" a="1"/>
  <c r="O10" i="5" s="1"/>
  <c r="O11" i="5" a="1"/>
  <c r="O11" i="5" s="1"/>
  <c r="O12" i="5" a="1"/>
  <c r="O12" i="5" s="1"/>
  <c r="O13" i="5" a="1"/>
  <c r="O13" i="5" s="1"/>
  <c r="O14" i="5" a="1"/>
  <c r="O14" i="5" s="1"/>
  <c r="O15" i="5" a="1"/>
  <c r="O15" i="5" s="1"/>
  <c r="O16" i="5" a="1"/>
  <c r="O16" i="5" s="1"/>
  <c r="O17" i="5" a="1"/>
  <c r="O17" i="5" s="1"/>
  <c r="O18" i="5" a="1"/>
  <c r="O18" i="5" s="1"/>
  <c r="O19" i="5" a="1"/>
  <c r="O19" i="5" s="1"/>
  <c r="O20" i="5" a="1"/>
  <c r="O20" i="5" s="1"/>
  <c r="O21" i="5" a="1"/>
  <c r="O21" i="5" s="1"/>
  <c r="O22" i="5" a="1"/>
  <c r="O22" i="5" s="1"/>
  <c r="O23" i="5" a="1"/>
  <c r="O23" i="5" s="1"/>
  <c r="O24" i="5" a="1"/>
  <c r="O24" i="5" s="1"/>
  <c r="O25" i="5" a="1"/>
  <c r="O25" i="5" s="1"/>
  <c r="O26" i="5" a="1"/>
  <c r="O26" i="5" s="1"/>
  <c r="B3" i="5"/>
  <c r="C3" i="5" s="1"/>
  <c r="B2" i="5"/>
  <c r="C2" i="5" s="1"/>
  <c r="N2" i="5"/>
  <c r="P2" i="5" s="1" a="1"/>
  <c r="P2" i="5" s="1"/>
  <c r="N3" i="5"/>
  <c r="N4" i="5"/>
  <c r="N5" i="5"/>
  <c r="P5" i="5" s="1" a="1"/>
  <c r="P5" i="5" s="1"/>
  <c r="Q5" i="5" s="1" a="1"/>
  <c r="Q5" i="5" s="1"/>
  <c r="N6" i="5"/>
  <c r="N7" i="5"/>
  <c r="P7" i="5" s="1" a="1"/>
  <c r="P7" i="5" s="1"/>
  <c r="Q7" i="5" s="1" a="1"/>
  <c r="Q7" i="5" s="1"/>
  <c r="N8" i="5"/>
  <c r="N9" i="5"/>
  <c r="P9" i="5" s="1" a="1"/>
  <c r="P9" i="5" s="1"/>
  <c r="Q9" i="5" s="1" a="1"/>
  <c r="Q9" i="5" s="1"/>
  <c r="N10" i="5"/>
  <c r="N12" i="5"/>
  <c r="N13" i="5"/>
  <c r="P13" i="5" s="1" a="1"/>
  <c r="P13" i="5" s="1"/>
  <c r="Q13" i="5" s="1" a="1"/>
  <c r="Q13" i="5" s="1"/>
  <c r="N14" i="5"/>
  <c r="N15" i="5"/>
  <c r="P15" i="5" s="1" a="1"/>
  <c r="P15" i="5" s="1"/>
  <c r="Q15" i="5" s="1" a="1"/>
  <c r="Q15" i="5" s="1"/>
  <c r="N16" i="5"/>
  <c r="N17" i="5"/>
  <c r="P17" i="5" s="1" a="1"/>
  <c r="P17" i="5" s="1"/>
  <c r="Q17" i="5" s="1" a="1"/>
  <c r="Q17" i="5" s="1"/>
  <c r="N18" i="5"/>
  <c r="N19" i="5"/>
  <c r="P19" i="5" s="1" a="1"/>
  <c r="P19" i="5" s="1"/>
  <c r="Q19" i="5" s="1" a="1"/>
  <c r="Q19" i="5" s="1"/>
  <c r="N20" i="5"/>
  <c r="N21" i="5"/>
  <c r="P21" i="5" s="1" a="1"/>
  <c r="P21" i="5" s="1"/>
  <c r="Q21" i="5" s="1" a="1"/>
  <c r="Q21" i="5" s="1"/>
  <c r="N22" i="5"/>
  <c r="N23" i="5"/>
  <c r="P23" i="5" s="1" a="1"/>
  <c r="P23" i="5" s="1"/>
  <c r="Q23" i="5" s="1" a="1"/>
  <c r="Q23" i="5" s="1"/>
  <c r="N24" i="5"/>
  <c r="N25" i="5"/>
  <c r="P25" i="5" s="1" a="1"/>
  <c r="P25" i="5" s="1"/>
  <c r="Q25" i="5" s="1" a="1"/>
  <c r="Q25" i="5" s="1"/>
  <c r="N26" i="5"/>
  <c r="B4" i="5"/>
  <c r="C4" i="5" s="1"/>
  <c r="B5" i="5"/>
  <c r="D5" i="5" s="1"/>
  <c r="B6" i="5"/>
  <c r="D6" i="5" s="1"/>
  <c r="B7" i="5"/>
  <c r="C7" i="5" s="1"/>
  <c r="B8" i="5"/>
  <c r="C8" i="5" s="1"/>
  <c r="B9" i="5"/>
  <c r="C9" i="5" s="1"/>
  <c r="B10" i="5"/>
  <c r="D10" i="5" s="1"/>
  <c r="B11" i="5"/>
  <c r="C11" i="5" s="1"/>
  <c r="B12" i="5"/>
  <c r="C12" i="5" s="1"/>
  <c r="B13" i="5"/>
  <c r="D13" i="5" s="1"/>
  <c r="B14" i="5"/>
  <c r="D14" i="5" s="1"/>
  <c r="B15" i="5"/>
  <c r="C15" i="5" s="1"/>
  <c r="B16" i="5"/>
  <c r="C16" i="5" s="1"/>
  <c r="B17" i="5"/>
  <c r="C17" i="5" s="1"/>
  <c r="B18" i="5"/>
  <c r="D18" i="5" s="1"/>
  <c r="B19" i="5"/>
  <c r="C19" i="5" s="1"/>
  <c r="B20" i="5"/>
  <c r="C20" i="5" s="1"/>
  <c r="B21" i="5"/>
  <c r="D21" i="5" s="1"/>
  <c r="B22" i="5"/>
  <c r="D22" i="5" s="1"/>
  <c r="B23" i="5"/>
  <c r="C23" i="5" s="1"/>
  <c r="B24" i="5"/>
  <c r="C24" i="5" s="1"/>
  <c r="B25" i="5"/>
  <c r="C25" i="5" s="1"/>
  <c r="B26" i="5"/>
  <c r="D26" i="5" s="1"/>
  <c r="U3" i="2" a="1"/>
  <c r="U3" i="2" s="1"/>
  <c r="U4" i="2" a="1"/>
  <c r="U4" i="2" s="1"/>
  <c r="U5" i="2" a="1"/>
  <c r="U5" i="2" s="1"/>
  <c r="U6" i="2" a="1"/>
  <c r="U6" i="2" s="1"/>
  <c r="U7" i="2" a="1"/>
  <c r="U7" i="2" s="1"/>
  <c r="U8" i="2" a="1"/>
  <c r="U8" i="2" s="1"/>
  <c r="U9" i="2" a="1"/>
  <c r="U9" i="2" s="1"/>
  <c r="U10" i="2" a="1"/>
  <c r="U10" i="2" s="1"/>
  <c r="U11" i="2" a="1"/>
  <c r="U11" i="2" s="1"/>
  <c r="U12" i="2" a="1"/>
  <c r="U12" i="2" s="1"/>
  <c r="U13" i="2" a="1"/>
  <c r="U13" i="2" s="1"/>
  <c r="U14" i="2" a="1"/>
  <c r="U14" i="2" s="1"/>
  <c r="U15" i="2" a="1"/>
  <c r="U15" i="2" s="1"/>
  <c r="U16" i="2" a="1"/>
  <c r="U16" i="2" s="1"/>
  <c r="U17" i="2" a="1"/>
  <c r="U17" i="2" s="1"/>
  <c r="U18" i="2" a="1"/>
  <c r="U18" i="2" s="1"/>
  <c r="U19" i="2" a="1"/>
  <c r="U19" i="2" s="1"/>
  <c r="U20" i="2" a="1"/>
  <c r="U20" i="2" s="1"/>
  <c r="U21" i="2" a="1"/>
  <c r="U21" i="2" s="1"/>
  <c r="U22" i="2" a="1"/>
  <c r="U22" i="2" s="1"/>
  <c r="U23" i="2" a="1"/>
  <c r="U23" i="2" s="1"/>
  <c r="U24" i="2" a="1"/>
  <c r="U24" i="2" s="1"/>
  <c r="U25" i="2" a="1"/>
  <c r="U25" i="2" s="1"/>
  <c r="U26" i="2" a="1"/>
  <c r="U26" i="2" s="1"/>
  <c r="T5" i="2" a="1"/>
  <c r="T5" i="2" s="1"/>
  <c r="T9" i="2" a="1"/>
  <c r="T9" i="2" s="1"/>
  <c r="T13" i="2" a="1"/>
  <c r="T13" i="2" s="1"/>
  <c r="T17" i="2" a="1"/>
  <c r="T17" i="2" s="1"/>
  <c r="T21" i="2" a="1"/>
  <c r="T21" i="2" s="1"/>
  <c r="T25" i="2" a="1"/>
  <c r="T25" i="2" s="1"/>
  <c r="S3" i="2"/>
  <c r="T3" i="2" s="1" a="1"/>
  <c r="T3" i="2" s="1"/>
  <c r="S4" i="2"/>
  <c r="T4" i="2" s="1" a="1"/>
  <c r="T4" i="2" s="1"/>
  <c r="S5" i="2"/>
  <c r="S6" i="2"/>
  <c r="T6" i="2" s="1" a="1"/>
  <c r="T6" i="2" s="1"/>
  <c r="S7" i="2"/>
  <c r="T7" i="2" s="1" a="1"/>
  <c r="T7" i="2" s="1"/>
  <c r="S8" i="2"/>
  <c r="T8" i="2" s="1" a="1"/>
  <c r="T8" i="2" s="1"/>
  <c r="S9" i="2"/>
  <c r="S10" i="2"/>
  <c r="T10" i="2" s="1" a="1"/>
  <c r="T10" i="2" s="1"/>
  <c r="S11" i="2"/>
  <c r="T11" i="2" s="1" a="1"/>
  <c r="T11" i="2" s="1"/>
  <c r="S12" i="2"/>
  <c r="T12" i="2" s="1" a="1"/>
  <c r="T12" i="2" s="1"/>
  <c r="S13" i="2"/>
  <c r="S14" i="2"/>
  <c r="T14" i="2" s="1" a="1"/>
  <c r="T14" i="2" s="1"/>
  <c r="S15" i="2"/>
  <c r="T15" i="2" s="1" a="1"/>
  <c r="T15" i="2" s="1"/>
  <c r="S16" i="2"/>
  <c r="T16" i="2" s="1" a="1"/>
  <c r="T16" i="2" s="1"/>
  <c r="S17" i="2"/>
  <c r="S18" i="2"/>
  <c r="T18" i="2" s="1" a="1"/>
  <c r="T18" i="2" s="1"/>
  <c r="S19" i="2"/>
  <c r="T19" i="2" s="1" a="1"/>
  <c r="T19" i="2" s="1"/>
  <c r="S20" i="2"/>
  <c r="T20" i="2" s="1" a="1"/>
  <c r="T20" i="2" s="1"/>
  <c r="S21" i="2"/>
  <c r="S22" i="2"/>
  <c r="T22" i="2" s="1" a="1"/>
  <c r="T22" i="2" s="1"/>
  <c r="S23" i="2"/>
  <c r="T23" i="2" s="1" a="1"/>
  <c r="T23" i="2" s="1"/>
  <c r="S24" i="2"/>
  <c r="T24" i="2" s="1" a="1"/>
  <c r="T24" i="2" s="1"/>
  <c r="S25" i="2"/>
  <c r="S26" i="2"/>
  <c r="T26" i="2" s="1" a="1"/>
  <c r="T26" i="2" s="1"/>
  <c r="L2" i="2"/>
  <c r="L3" i="2"/>
  <c r="L4" i="2"/>
  <c r="L5" i="2"/>
  <c r="L6" i="2"/>
  <c r="L7" i="2"/>
  <c r="L8" i="2"/>
  <c r="L9" i="2"/>
  <c r="L10" i="2"/>
  <c r="L11" i="2"/>
  <c r="L12" i="2"/>
  <c r="L13" i="2"/>
  <c r="L14" i="2"/>
  <c r="L15" i="2"/>
  <c r="L16" i="2"/>
  <c r="L17" i="2"/>
  <c r="L18" i="2"/>
  <c r="L19" i="2"/>
  <c r="L20" i="2"/>
  <c r="L21" i="2"/>
  <c r="L22" i="2"/>
  <c r="L23" i="2"/>
  <c r="L24" i="2"/>
  <c r="L25" i="2"/>
  <c r="L26" i="2"/>
  <c r="Q2" i="5" l="1" a="1"/>
  <c r="Q2" i="5" s="1"/>
  <c r="Q4" i="5" a="1"/>
  <c r="Q4" i="5" s="1"/>
  <c r="P8" i="5" a="1"/>
  <c r="P8" i="5" s="1"/>
  <c r="Q8" i="5" s="1" a="1"/>
  <c r="Q8" i="5" s="1"/>
  <c r="P24" i="5" a="1"/>
  <c r="P24" i="5" s="1"/>
  <c r="Q24" i="5" s="1" a="1"/>
  <c r="Q24" i="5" s="1"/>
  <c r="P20" i="5" a="1"/>
  <c r="P20" i="5" s="1"/>
  <c r="Q20" i="5" s="1" a="1"/>
  <c r="Q20" i="5" s="1"/>
  <c r="P16" i="5" a="1"/>
  <c r="P16" i="5" s="1"/>
  <c r="Q16" i="5" s="1" a="1"/>
  <c r="Q16" i="5" s="1"/>
  <c r="P12" i="5" a="1"/>
  <c r="P12" i="5" s="1"/>
  <c r="Q12" i="5" s="1" a="1"/>
  <c r="Q12" i="5" s="1"/>
  <c r="P3" i="5" a="1"/>
  <c r="P3" i="5" s="1"/>
  <c r="Q3" i="5" s="1" a="1"/>
  <c r="Q3" i="5" s="1"/>
  <c r="P11" i="5" a="1"/>
  <c r="P11" i="5" s="1"/>
  <c r="Q11" i="5" s="1" a="1"/>
  <c r="Q11" i="5" s="1"/>
  <c r="P10" i="5" a="1"/>
  <c r="P10" i="5" s="1"/>
  <c r="Q10" i="5" s="1" a="1"/>
  <c r="Q10" i="5" s="1"/>
  <c r="P6" i="5" a="1"/>
  <c r="P6" i="5" s="1"/>
  <c r="Q6" i="5" s="1" a="1"/>
  <c r="Q6" i="5" s="1"/>
  <c r="P26" i="5" a="1"/>
  <c r="P26" i="5" s="1"/>
  <c r="Q26" i="5" s="1" a="1"/>
  <c r="Q26" i="5" s="1"/>
  <c r="P22" i="5" a="1"/>
  <c r="P22" i="5" s="1"/>
  <c r="Q22" i="5" s="1" a="1"/>
  <c r="Q22" i="5" s="1"/>
  <c r="P18" i="5" a="1"/>
  <c r="P18" i="5" s="1"/>
  <c r="Q18" i="5" s="1" a="1"/>
  <c r="Q18" i="5" s="1"/>
  <c r="P14" i="5" a="1"/>
  <c r="P14" i="5" s="1"/>
  <c r="Q14" i="5" s="1" a="1"/>
  <c r="Q14" i="5" s="1"/>
  <c r="C18" i="5"/>
  <c r="D2" i="5"/>
  <c r="C14" i="5"/>
  <c r="C26" i="5"/>
  <c r="C10" i="5"/>
  <c r="C22" i="5"/>
  <c r="C6" i="5"/>
  <c r="C21" i="5"/>
  <c r="C13" i="5"/>
  <c r="C5" i="5"/>
  <c r="D24" i="5"/>
  <c r="D16" i="5"/>
  <c r="D8" i="5"/>
  <c r="D25" i="5"/>
  <c r="D17" i="5"/>
  <c r="D9" i="5"/>
  <c r="D20" i="5"/>
  <c r="D12" i="5"/>
  <c r="D4" i="5"/>
  <c r="D23" i="5"/>
  <c r="D19" i="5"/>
  <c r="D15" i="5"/>
  <c r="D11" i="5"/>
  <c r="D7" i="5"/>
  <c r="D3" i="5"/>
  <c r="B24" i="7" l="1"/>
  <c r="B21" i="7"/>
  <c r="B23" i="7"/>
  <c r="B22"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<sst xmlns="http://schemas.openxmlformats.org/spreadsheetml/2006/main" count="697" uniqueCount="214">
  <si>
    <t>Project Information</t>
  </si>
  <si>
    <t>Yes</t>
  </si>
  <si>
    <t>No</t>
  </si>
  <si>
    <t>Response</t>
  </si>
  <si>
    <t>Score</t>
  </si>
  <si>
    <t>Muizz</t>
  </si>
  <si>
    <t>This workbook is a practical simulation of a Third-Party Risk Management (TPRM) system developed using Microsoft Excel. It demonstrates how organizations identify, assess, monitor, and manage risks arising from vendors, suppliers, service providers, and other third parties throughout the vendor lifecycle.
The workbook enables organizations to maintain a centralized vendor register, conduct vendor due diligence, evaluate inherent and residual risks, monitor contractual and regulatory obligations, assess privacy and cybersecurity controls, manage cross-border data transfer risks, and track remediation activities.
The project reflects industry best practices for governance, risk, compliance, information security, and data protection.</t>
  </si>
  <si>
    <t>Maintain a centralized vendor inventory.</t>
  </si>
  <si>
    <t>Perform vendor due diligence assessments.</t>
  </si>
  <si>
    <t>Assess vendor criticality and inherent risk.</t>
  </si>
  <si>
    <t>Evaluate privacy, cybersecurity, operational, financial, legal, and geographical risks.</t>
  </si>
  <si>
    <t>Automate vendor risk scoring.</t>
  </si>
  <si>
    <t>Track mitigation activities.</t>
  </si>
  <si>
    <t>Monitor vendor performance and contract reviews.</t>
  </si>
  <si>
    <t>Produce executive-level risk dashboards.</t>
  </si>
  <si>
    <t>Sheet</t>
  </si>
  <si>
    <t>Description</t>
  </si>
  <si>
    <t>00_Project_Overview</t>
  </si>
  <si>
    <t>Project overview and methodology</t>
  </si>
  <si>
    <t>01_Vendor_Register</t>
  </si>
  <si>
    <t>Vendor inventory</t>
  </si>
  <si>
    <t>Vendor assessment questionnaire</t>
  </si>
  <si>
    <t>07_Executive_Dashboard</t>
  </si>
  <si>
    <t>Executive dashboard</t>
  </si>
  <si>
    <t>Information Security</t>
  </si>
  <si>
    <t>Data Privacy</t>
  </si>
  <si>
    <t>Cybersecurity</t>
  </si>
  <si>
    <t>Operational Risk</t>
  </si>
  <si>
    <t>Financial Risk</t>
  </si>
  <si>
    <t>Legal &amp; Regulatory Risk</t>
  </si>
  <si>
    <t>Geographic Risk</t>
  </si>
  <si>
    <t>Fourth-Party Risk</t>
  </si>
  <si>
    <t>Business Continuity &amp; Disaster Recovery</t>
  </si>
  <si>
    <t>Vendor Governance</t>
  </si>
  <si>
    <t>Upon completion, this workbook provides:</t>
  </si>
  <si>
    <t>A centralized vendor inventory.</t>
  </si>
  <si>
    <t>Automated vendor risk classification.</t>
  </si>
  <si>
    <t>Due diligence tracking.</t>
  </si>
  <si>
    <t>Privacy and cybersecurity oversight.</t>
  </si>
  <si>
    <t>Executive reporting through an interactive dashboard.</t>
  </si>
  <si>
    <t>Project Objectives</t>
  </si>
  <si>
    <t>Project Workbook Structure</t>
  </si>
  <si>
    <t>Risk Domains Assessed</t>
  </si>
  <si>
    <t>Expected Outcomes</t>
  </si>
  <si>
    <t>Vendor ID</t>
  </si>
  <si>
    <t>Vendor Name</t>
  </si>
  <si>
    <t>Service Category</t>
  </si>
  <si>
    <t>Business Unit</t>
  </si>
  <si>
    <t>Country</t>
  </si>
  <si>
    <t>Critical Vendor?</t>
  </si>
  <si>
    <t>Processes Personal Data?</t>
  </si>
  <si>
    <t>Special Personal Data?</t>
  </si>
  <si>
    <t>Cross-Border Transfer?</t>
  </si>
  <si>
    <t>Data Processor?</t>
  </si>
  <si>
    <t>DPA Signed?</t>
  </si>
  <si>
    <t>SCC Required?</t>
  </si>
  <si>
    <t>ISO 27001 Certified?</t>
  </si>
  <si>
    <t>SOC 2 Report?</t>
  </si>
  <si>
    <t>Contract Start</t>
  </si>
  <si>
    <t>Contract End</t>
  </si>
  <si>
    <t>Review Frequency</t>
  </si>
  <si>
    <t>Relationship Owner</t>
  </si>
  <si>
    <t>Vendor Status</t>
  </si>
  <si>
    <t>Initial Risk</t>
  </si>
  <si>
    <t>V001</t>
  </si>
  <si>
    <t>Microsoft Azure</t>
  </si>
  <si>
    <t>Cloud Hosting</t>
  </si>
  <si>
    <t>Netherlands</t>
  </si>
  <si>
    <t>V002</t>
  </si>
  <si>
    <t>Microsoft 365</t>
  </si>
  <si>
    <t>Productivity Suite</t>
  </si>
  <si>
    <t>Ireland</t>
  </si>
  <si>
    <t>V003</t>
  </si>
  <si>
    <t>Twilio</t>
  </si>
  <si>
    <t>SMS Gateway</t>
  </si>
  <si>
    <t>United States</t>
  </si>
  <si>
    <t>V004</t>
  </si>
  <si>
    <t>Paystack</t>
  </si>
  <si>
    <t>Payment Processor</t>
  </si>
  <si>
    <t>Nigeria</t>
  </si>
  <si>
    <t>V005</t>
  </si>
  <si>
    <t>Flutterwave</t>
  </si>
  <si>
    <t>V006</t>
  </si>
  <si>
    <t>AWS</t>
  </si>
  <si>
    <t>V007</t>
  </si>
  <si>
    <t>Cloudflare</t>
  </si>
  <si>
    <t>CDN &amp; Security</t>
  </si>
  <si>
    <t>V008</t>
  </si>
  <si>
    <t>Cisco</t>
  </si>
  <si>
    <t>Network Infrastructure</t>
  </si>
  <si>
    <t>V009</t>
  </si>
  <si>
    <t>Palo Alto Networks</t>
  </si>
  <si>
    <t>V010</t>
  </si>
  <si>
    <t>KPMG Nigeria</t>
  </si>
  <si>
    <t>External Audit</t>
  </si>
  <si>
    <t>V011</t>
  </si>
  <si>
    <t>Deloitte Nigeria</t>
  </si>
  <si>
    <t>Risk Advisory</t>
  </si>
  <si>
    <t>V012</t>
  </si>
  <si>
    <t>MainOne</t>
  </si>
  <si>
    <t>Internet Services</t>
  </si>
  <si>
    <t>V013</t>
  </si>
  <si>
    <t>MTN Nigeria</t>
  </si>
  <si>
    <t>Telecommunications</t>
  </si>
  <si>
    <t>V014</t>
  </si>
  <si>
    <t>Redington Nigeria</t>
  </si>
  <si>
    <t>Hardware Supplier</t>
  </si>
  <si>
    <t>V015</t>
  </si>
  <si>
    <t>HP Enterprise</t>
  </si>
  <si>
    <t>Server Infrastructure</t>
  </si>
  <si>
    <t>V016</t>
  </si>
  <si>
    <t>Dell Technologies</t>
  </si>
  <si>
    <t>End User Devices</t>
  </si>
  <si>
    <t>V017</t>
  </si>
  <si>
    <t>Canon Nigeria</t>
  </si>
  <si>
    <t>Printing Services</t>
  </si>
  <si>
    <t>V018</t>
  </si>
  <si>
    <t>DocuSign</t>
  </si>
  <si>
    <t>Electronic Signature</t>
  </si>
  <si>
    <t>V019</t>
  </si>
  <si>
    <t>SendGrid</t>
  </si>
  <si>
    <t>Email Services</t>
  </si>
  <si>
    <t>V020</t>
  </si>
  <si>
    <t>GitHub Enterprise</t>
  </si>
  <si>
    <t>Source Code Management</t>
  </si>
  <si>
    <t>V021</t>
  </si>
  <si>
    <t>Oracle Cloud</t>
  </si>
  <si>
    <t>Database Services</t>
  </si>
  <si>
    <t>V022</t>
  </si>
  <si>
    <t>Zoho</t>
  </si>
  <si>
    <t>CRM Platform</t>
  </si>
  <si>
    <t>India</t>
  </si>
  <si>
    <t>V023</t>
  </si>
  <si>
    <t>SAP</t>
  </si>
  <si>
    <t>ERP Platform</t>
  </si>
  <si>
    <t>Germany</t>
  </si>
  <si>
    <t>V024</t>
  </si>
  <si>
    <t>MedData Solutions</t>
  </si>
  <si>
    <t>Electronic Medical Records</t>
  </si>
  <si>
    <t>V025</t>
  </si>
  <si>
    <t>SecureShred Ltd</t>
  </si>
  <si>
    <t>Secure Document Disposal</t>
  </si>
  <si>
    <t>Semi-Annual</t>
  </si>
  <si>
    <t>Project Scenerio</t>
  </si>
  <si>
    <t>HealthBridge is expanding its digital healthcare platform and has engaged several third-party vendors.
Some vendors process personal data.
Some provide cloud infrastructure.
Some have access to sensitive medical information.
Some provide payment services.
Some merely provide office supplies.
The organization must determine:
Which vendors pose the highest risk?
Which vendors require enhanced due diligence?
Which vendors need annual reassessment?
Which vendors require Data Processing Agreements (DPAs)?
Which vendors require SCCs because they transfer personal data internationally?</t>
  </si>
  <si>
    <t>Low</t>
  </si>
  <si>
    <t>Medium</t>
  </si>
  <si>
    <t>High</t>
  </si>
  <si>
    <t>Critical</t>
  </si>
  <si>
    <t>Comments</t>
  </si>
  <si>
    <t>Recommendation</t>
  </si>
  <si>
    <t>Overall Control Effectiveness</t>
  </si>
  <si>
    <t>Fourth-Party Management</t>
  </si>
  <si>
    <t>Financial Stability</t>
  </si>
  <si>
    <t>Business Continuity</t>
  </si>
  <si>
    <t>Legal &amp; Regulatory Compliance</t>
  </si>
  <si>
    <t>Privacy Compliance</t>
  </si>
  <si>
    <t>Assessor</t>
  </si>
  <si>
    <t>Assessment Date</t>
  </si>
  <si>
    <t>Assessment ID</t>
  </si>
  <si>
    <t>Partial</t>
  </si>
  <si>
    <t>Weak</t>
  </si>
  <si>
    <t>Adequate</t>
  </si>
  <si>
    <t>Strong</t>
  </si>
  <si>
    <t>Modifier</t>
  </si>
  <si>
    <t>Control Effectiveness</t>
  </si>
  <si>
    <t>TPA001</t>
  </si>
  <si>
    <t>TPA002</t>
  </si>
  <si>
    <t>TPA003</t>
  </si>
  <si>
    <t>TPA004</t>
  </si>
  <si>
    <t>TPA005</t>
  </si>
  <si>
    <t>TPA006</t>
  </si>
  <si>
    <t>TPA007</t>
  </si>
  <si>
    <t>TPA008</t>
  </si>
  <si>
    <t>TPA009</t>
  </si>
  <si>
    <t>TPA010</t>
  </si>
  <si>
    <t>TPA011</t>
  </si>
  <si>
    <t>TPA012</t>
  </si>
  <si>
    <t>TPA013</t>
  </si>
  <si>
    <t>TPA014</t>
  </si>
  <si>
    <t>TPA015</t>
  </si>
  <si>
    <t>TPA016</t>
  </si>
  <si>
    <t>TPA017</t>
  </si>
  <si>
    <t>TPA018</t>
  </si>
  <si>
    <t>TPA019</t>
  </si>
  <si>
    <t>TPA020</t>
  </si>
  <si>
    <t>TPA021</t>
  </si>
  <si>
    <t>TPA022</t>
  </si>
  <si>
    <t>TPA023</t>
  </si>
  <si>
    <t>TPA024</t>
  </si>
  <si>
    <t>TPA025</t>
  </si>
  <si>
    <t>Information Sensitivity</t>
  </si>
  <si>
    <t>Level</t>
  </si>
  <si>
    <t>Public</t>
  </si>
  <si>
    <t>Internal</t>
  </si>
  <si>
    <t>Confidential</t>
  </si>
  <si>
    <t>Restricted</t>
  </si>
  <si>
    <t>Overall Risk Rating</t>
  </si>
  <si>
    <t>Overall Due Diligence Score</t>
  </si>
  <si>
    <t>AML/CFT COMPLIANCE DASHBOARD</t>
  </si>
  <si>
    <t>Risk Rating</t>
  </si>
  <si>
    <t>Count</t>
  </si>
  <si>
    <t>Total Vendors</t>
  </si>
  <si>
    <t>Critical Vendors</t>
  </si>
  <si>
    <t>High Risk Vendors</t>
  </si>
  <si>
    <t>Approved Vendors</t>
  </si>
  <si>
    <t>Average Due Dilligence</t>
  </si>
  <si>
    <t>Effectiveness</t>
  </si>
  <si>
    <t>Moderate</t>
  </si>
  <si>
    <t>Overall Recommendation</t>
  </si>
  <si>
    <t>IT Manager</t>
  </si>
  <si>
    <t>Vendor Baseline Risk Profile</t>
  </si>
  <si>
    <t>Initial Risk Profile Score</t>
  </si>
  <si>
    <t>02_Vendor_Due_Diligence and Risk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</si>
</sst>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4"/>
      <color theme="0"/>
      <name val="Times New Roman"/>
      <family val="1"/>
    </font>
    <font>
      <sz val="8"/>
      <name val="Calibri"/>
      <family val="2"/>
      <scheme val="minor"/>
    </font>
    <font>
      <b/>
      <sz val="20"/>
      <color theme="0"/>
      <name val="Calibri"/>
      <family val="2"/>
      <scheme val="minor"/>
    </font>
    <font>
      <sz val="20"/>
      <color theme="0"/>
      <name val="Calibri"/>
      <family val="2"/>
      <scheme val="minor"/>
    </font>
  </fonts>
  <fills count="7">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3" tint="-0.249977111117893"/>
        <bgColor indexed="64"/>
      </patternFill>
    </fill>
    <fill>
      <patternFill patternType="solid">
        <fgColor theme="3" tint="0.39997558519241921"/>
        <bgColor indexed="64"/>
      </patternFill>
    </fill>
    <fill>
      <patternFill patternType="solid">
        <fgColor theme="4" tint="-0.499984740745262"/>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wrapText="1"/>
    </xf>
    <xf numFmtId="0" fontId="4" fillId="2" borderId="0" xfId="0" applyFont="1" applyFill="1" applyAlignment="1">
      <alignment horizontal="center"/>
    </xf>
    <xf numFmtId="0" fontId="3" fillId="2" borderId="0" xfId="0" applyFont="1" applyFill="1" applyAlignment="1">
      <alignment horizontal="center"/>
    </xf>
    <xf numFmtId="0" fontId="4" fillId="2" borderId="0" xfId="0" applyFont="1" applyFill="1" applyAlignment="1"/>
    <xf numFmtId="0" fontId="3" fillId="3" borderId="0" xfId="0" applyFont="1" applyFill="1" applyAlignment="1"/>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xf numFmtId="14" fontId="0" fillId="0" borderId="0" xfId="0" applyNumberFormat="1"/>
    <xf numFmtId="0" fontId="0" fillId="0" borderId="0" xfId="0" applyAlignment="1">
      <alignment horizontal="right" vertical="center" wrapText="1"/>
    </xf>
    <xf numFmtId="0" fontId="2" fillId="0" borderId="0" xfId="0" applyFont="1" applyAlignment="1">
      <alignment horizontal="right" vertical="center" wrapText="1"/>
    </xf>
    <xf numFmtId="0" fontId="1" fillId="5" borderId="0" xfId="0" applyFont="1" applyFill="1"/>
    <xf numFmtId="0" fontId="1" fillId="6" borderId="0" xfId="0" applyFont="1" applyFill="1"/>
    <xf numFmtId="0" fontId="1" fillId="5" borderId="0" xfId="0" applyFont="1" applyFill="1" applyAlignment="1">
      <alignment vertical="center"/>
    </xf>
    <xf numFmtId="0" fontId="1" fillId="3" borderId="0" xfId="0" applyFont="1" applyFill="1"/>
    <xf numFmtId="0" fontId="4" fillId="2" borderId="0" xfId="0" applyFont="1" applyFill="1" applyAlignment="1">
      <alignment horizontal="center"/>
    </xf>
    <xf numFmtId="0" fontId="3" fillId="2" borderId="0" xfId="0" applyFont="1" applyFill="1" applyAlignment="1">
      <alignment horizontal="center"/>
    </xf>
    <xf numFmtId="0" fontId="6" fillId="4" borderId="0" xfId="0" applyFont="1" applyFill="1" applyAlignment="1">
      <alignment horizontal="center"/>
    </xf>
    <xf numFmtId="0" fontId="7" fillId="4" borderId="0" xfId="0" applyFont="1" applyFill="1" applyAlignment="1">
      <alignment horizontal="center"/>
    </xf>
  </cellXfs>
  <cellStyles count="1">
    <cellStyle name="Normal" xfId="0" builtinId="0"/>
  </cellStyles>
  <dxfs count="31">
    <dxf>
      <font>
        <color rgb="FF9C0006"/>
      </font>
      <fill>
        <patternFill>
          <bgColor rgb="FFFFC7CE"/>
        </patternFill>
      </fill>
    </dxf>
    <dxf>
      <font>
        <color rgb="FF006100"/>
      </font>
      <fill>
        <patternFill>
          <bgColor rgb="FFC6EFCE"/>
        </patternFill>
      </fill>
    </dxf>
    <dxf>
      <font>
        <color theme="1"/>
      </font>
      <fill>
        <patternFill>
          <bgColor theme="4" tint="-0.24994659260841701"/>
        </patternFill>
      </fill>
    </dxf>
    <dxf>
      <font>
        <color rgb="FF9C5700"/>
      </font>
      <fill>
        <patternFill>
          <bgColor rgb="FFFFEB9C"/>
        </patternFill>
      </fill>
    </dxf>
    <dxf>
      <font>
        <color theme="1"/>
      </font>
      <fill>
        <patternFill>
          <bgColor theme="8" tint="0.39994506668294322"/>
        </patternFill>
      </fill>
    </dxf>
    <dxf>
      <font>
        <color rgb="FF006100"/>
      </font>
      <fill>
        <patternFill>
          <bgColor rgb="FFC6EFCE"/>
        </patternFill>
      </fill>
    </dxf>
    <dxf>
      <fill>
        <patternFill>
          <bgColor theme="9" tint="0.39994506668294322"/>
        </patternFill>
      </fill>
    </dxf>
    <dxf>
      <fill>
        <patternFill>
          <bgColor theme="9" tint="-0.24994659260841701"/>
        </patternFill>
      </fill>
    </dxf>
    <dxf>
      <font>
        <color theme="1"/>
      </font>
      <fill>
        <patternFill>
          <bgColor theme="9" tint="-0.24994659260841701"/>
        </patternFill>
      </fill>
    </dxf>
    <dxf>
      <font>
        <color rgb="FF9C0006"/>
      </font>
      <fill>
        <patternFill>
          <bgColor rgb="FFFFC7CE"/>
        </patternFill>
      </fill>
    </dxf>
    <dxf>
      <font>
        <color rgb="FF9C5700"/>
      </font>
      <fill>
        <patternFill>
          <bgColor rgb="FFFFEB9C"/>
        </patternFill>
      </fill>
    </dxf>
    <dxf>
      <font>
        <color theme="1"/>
      </font>
      <fill>
        <patternFill>
          <bgColor rgb="FFFF00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Risk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pieChart>
        <c:varyColors val="1"/>
        <c:ser>
          <c:idx val="0"/>
          <c:order val="0"/>
          <c:tx>
            <c:strRef>
              <c:f>'Executive Dashboardd'!$B$7</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71-42D2-98FD-10C7E3EBE1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71-42D2-98FD-10C7E3EBE1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571-42D2-98FD-10C7E3EBE10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571-42D2-98FD-10C7E3EBE101}"/>
              </c:ext>
            </c:extLst>
          </c:dPt>
          <c:cat>
            <c:strRef>
              <c:f>'Executive Dashboardd'!$A$8:$A$11</c:f>
              <c:strCache>
                <c:ptCount val="4"/>
                <c:pt idx="0">
                  <c:v>Low</c:v>
                </c:pt>
                <c:pt idx="1">
                  <c:v>Medium</c:v>
                </c:pt>
                <c:pt idx="2">
                  <c:v>High</c:v>
                </c:pt>
                <c:pt idx="3">
                  <c:v>Critical</c:v>
                </c:pt>
              </c:strCache>
            </c:strRef>
          </c:cat>
          <c:val>
            <c:numRef>
              <c:f>'Executive Dashboardd'!$B$8:$B$11</c:f>
              <c:numCache>
                <c:formatCode>General</c:formatCode>
                <c:ptCount val="4"/>
                <c:pt idx="0">
                  <c:v>4</c:v>
                </c:pt>
                <c:pt idx="1">
                  <c:v>20</c:v>
                </c:pt>
                <c:pt idx="2">
                  <c:v>1</c:v>
                </c:pt>
                <c:pt idx="3">
                  <c:v>0</c:v>
                </c:pt>
              </c:numCache>
            </c:numRef>
          </c:val>
          <c:extLst>
            <c:ext xmlns:c16="http://schemas.microsoft.com/office/drawing/2014/chart" uri="{C3380CC4-5D6E-409C-BE32-E72D297353CC}">
              <c16:uniqueId val="{00000000-8480-450C-B3D0-AE38EDC115C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Control Effectiveness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col"/>
        <c:grouping val="clustered"/>
        <c:varyColors val="0"/>
        <c:ser>
          <c:idx val="0"/>
          <c:order val="0"/>
          <c:tx>
            <c:strRef>
              <c:f>'Executive Dashboardd'!$B$20</c:f>
              <c:strCache>
                <c:ptCount val="1"/>
                <c:pt idx="0">
                  <c:v>Count</c:v>
                </c:pt>
              </c:strCache>
            </c:strRef>
          </c:tx>
          <c:spPr>
            <a:solidFill>
              <a:schemeClr val="accent1"/>
            </a:solidFill>
            <a:ln>
              <a:noFill/>
            </a:ln>
            <a:effectLst/>
          </c:spPr>
          <c:invertIfNegative val="0"/>
          <c:cat>
            <c:strRef>
              <c:f>'Executive Dashboardd'!$A$21:$A$24</c:f>
              <c:strCache>
                <c:ptCount val="4"/>
                <c:pt idx="0">
                  <c:v>Strong</c:v>
                </c:pt>
                <c:pt idx="1">
                  <c:v>Adequate</c:v>
                </c:pt>
                <c:pt idx="2">
                  <c:v>Moderate</c:v>
                </c:pt>
                <c:pt idx="3">
                  <c:v>Weak</c:v>
                </c:pt>
              </c:strCache>
            </c:strRef>
          </c:cat>
          <c:val>
            <c:numRef>
              <c:f>'Executive Dashboardd'!$B$21:$B$24</c:f>
              <c:numCache>
                <c:formatCode>General</c:formatCode>
                <c:ptCount val="4"/>
                <c:pt idx="0">
                  <c:v>4</c:v>
                </c:pt>
                <c:pt idx="1">
                  <c:v>17</c:v>
                </c:pt>
                <c:pt idx="2">
                  <c:v>3</c:v>
                </c:pt>
                <c:pt idx="3">
                  <c:v>1</c:v>
                </c:pt>
              </c:numCache>
            </c:numRef>
          </c:val>
          <c:extLst>
            <c:ext xmlns:c16="http://schemas.microsoft.com/office/drawing/2014/chart" uri="{C3380CC4-5D6E-409C-BE32-E72D297353CC}">
              <c16:uniqueId val="{00000000-417E-4BC0-BAD8-488447564BCE}"/>
            </c:ext>
          </c:extLst>
        </c:ser>
        <c:dLbls>
          <c:showLegendKey val="0"/>
          <c:showVal val="0"/>
          <c:showCatName val="0"/>
          <c:showSerName val="0"/>
          <c:showPercent val="0"/>
          <c:showBubbleSize val="0"/>
        </c:dLbls>
        <c:gapWidth val="219"/>
        <c:overlap val="-27"/>
        <c:axId val="601200959"/>
        <c:axId val="601200543"/>
      </c:barChart>
      <c:catAx>
        <c:axId val="60120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1200543"/>
        <c:crosses val="autoZero"/>
        <c:auto val="1"/>
        <c:lblAlgn val="ctr"/>
        <c:lblOffset val="100"/>
        <c:noMultiLvlLbl val="0"/>
      </c:catAx>
      <c:valAx>
        <c:axId val="601200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1200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123825</xdr:colOff>
      <xdr:row>5</xdr:row>
      <xdr:rowOff>161925</xdr:rowOff>
    </xdr:from>
    <xdr:to>
      <xdr:col>6</xdr:col>
      <xdr:colOff>1047750</xdr:colOff>
      <xdr:row>17</xdr:row>
      <xdr:rowOff>114300</xdr:rowOff>
    </xdr:to>
    <xdr:graphicFrame macro="">
      <xdr:nvGraphicFramePr>
        <xdr:cNvPr id="7" name="Chart 6">
          <a:extLst>
            <a:ext uri="{FF2B5EF4-FFF2-40B4-BE49-F238E27FC236}">
              <a16:creationId xmlns:a16="http://schemas.microsoft.com/office/drawing/2014/main" id="{7F9E66DA-1713-46EB-9621-D7F07AB02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128587</xdr:colOff>
      <xdr:row>18</xdr:row>
      <xdr:rowOff>123824</xdr:rowOff>
    </xdr:from>
    <xdr:to>
      <xdr:col>6</xdr:col>
      <xdr:colOff>1052512</xdr:colOff>
      <xdr:row>31</xdr:row>
      <xdr:rowOff>19050</xdr:rowOff>
    </xdr:to>
    <xdr:graphicFrame macro="">
      <xdr:nvGraphicFramePr>
        <xdr:cNvPr id="11" name="Chart 10">
          <a:extLst>
            <a:ext uri="{FF2B5EF4-FFF2-40B4-BE49-F238E27FC236}">
              <a16:creationId xmlns:a16="http://schemas.microsoft.com/office/drawing/2014/main" id="{9A4A4087-50CD-4D59-A6C8-DA6A9D9594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AE7101-E35D-4E33-9B8E-8F3D4D440F71}" name="tblVendorRegister" displayName="tblVendorRegister" ref="A1:U26" totalsRowShown="0">
  <autoFilter ref="A1:U26" xr:uid="{37AE7101-E35D-4E33-9B8E-8F3D4D440F71}"/>
  <tableColumns count="21">
    <tableColumn id="1" xr3:uid="{3466009A-5BE5-4770-9608-742279728772}" name="Vendor ID"/>
    <tableColumn id="2" xr3:uid="{6ED31E11-2A4C-4B8A-AADD-EC4CBDDCB62D}" name="Vendor Name"/>
    <tableColumn id="3" xr3:uid="{05E6076D-9465-4763-83D0-F331C1C5FF10}" name="Service Category"/>
    <tableColumn id="4" xr3:uid="{C1757CAA-D8FE-4691-8DFD-3FECA69FE5ED}" name="Country"/>
    <tableColumn id="5" xr3:uid="{884DAA88-E143-4208-BB39-C8FBFBB34109}" name="Business Unit"/>
    <tableColumn id="7" xr3:uid="{CC997047-43DA-4544-9EB1-446CE80824B5}" name="Critical Vendor?"/>
    <tableColumn id="8" xr3:uid="{7398F1A5-420F-4AA5-9EC1-EED0C250C8DC}" name="Processes Personal Data?"/>
    <tableColumn id="9" xr3:uid="{D65F9305-15B2-42A1-A091-116A941C9161}" name="Special Personal Data?"/>
    <tableColumn id="10" xr3:uid="{5C82482B-1523-4547-8272-700390468E5C}" name="Cross-Border Transfer?"/>
    <tableColumn id="11" xr3:uid="{358DE9D9-0764-4ECB-A9C5-62EA6C69DAF3}" name="Data Processor?"/>
    <tableColumn id="12" xr3:uid="{BF5EC172-B9DB-4FA7-819A-FACE4CAF6A29}" name="DPA Signed?"/>
    <tableColumn id="13" xr3:uid="{279D948D-161E-49E2-A9D9-6A0F789EE9D9}" name="SCC Required?" dataDxfId="30">
      <calculatedColumnFormula>IF(AND(tblVendorRegister[[#This Row],[Cross-Border Transfer?]]="Yes",tblVendorRegister[[#This Row],[Processes Personal Data?]]="Yes"),"Yes","No")</calculatedColumnFormula>
    </tableColumn>
    <tableColumn id="14" xr3:uid="{64C60E9A-E50C-4F99-BCFE-2194708F78F0}" name="ISO 27001 Certified?"/>
    <tableColumn id="15" xr3:uid="{19D17CAC-DD88-466E-8AF1-5499D707FF08}" name="SOC 2 Report?"/>
    <tableColumn id="16" xr3:uid="{1521473F-019E-40B5-8711-C30CF69D3415}" name="Contract Start"/>
    <tableColumn id="17" xr3:uid="{F0B70B91-C865-48C8-9314-CB21722BE056}" name="Contract End"/>
    <tableColumn id="18" xr3:uid="{DD0B9FFE-DC55-4A28-AD8B-3700D2B6394C}" name="Review Frequency"/>
    <tableColumn id="19" xr3:uid="{BC951A7D-16CE-4D1F-AD2B-4C3240ABC58A}" name="Relationship Owner"/>
    <tableColumn id="22" xr3:uid="{F24729E7-0E17-4AC1-B043-AEA181E8C162}" name="Initial Risk Profile Score" dataDxfId="29">
      <calculatedColumnFormula>(IF(tblVendorRegister[[#This Row],[Critical Vendor?]]="Yes",3,0))
+(IF(tblVendorRegister[[#This Row],[Processes Personal Data?]]="Yes",2,0))
+(IF(tblVendorRegister[[#This Row],[Special Personal Data?]]="Yes",3,0))
+(IF(tblVendorRegister[[#This Row],[Cross-Border Transfer?]]="Yes",2,0))
+(IF(tblVendorRegister[[#This Row],[Data Processor?]]="Yes",2,0))</calculatedColumnFormula>
    </tableColumn>
    <tableColumn id="21" xr3:uid="{D82BC842-B22F-44C6-AF09-EB6CB80B8D26}" name="Vendor Baseline Risk Profile" dataDxfId="28">
      <calculatedColumnFormula array="1">_xlfn.IFS(
tblVendorRegister[[#This Row],[Initial Risk Profile Score]]&gt;=10,"Critical",
tblVendorRegister[[#This Row],[Initial Risk Profile Score]]&gt;=7,"High",
tblVendorRegister[[#This Row],[Initial Risk Profile Score]]&gt;=4,"Medium",
TRUE,"Low"
)</calculatedColumnFormula>
    </tableColumn>
    <tableColumn id="20" xr3:uid="{A9DBBDAF-88F9-48F9-A356-43E596376DC0}" name="Vendor Status" dataDxfId="27">
      <calculatedColumnFormula array="1">_xlfn.IFS(
tblVendorRegister[[#This Row],[Contract End]]&lt;TODAY(),"Expired",
tblVendorRegister[[#This Row],[Contract End]]&lt;=TODAY()+90,"Renewal Due",
TRUE,"Active"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2914859-97BC-4E2F-86E8-156252BFC2B7}" name="tblVendorAssessment" displayName="tblVendorAssessment" ref="A1:R26">
  <autoFilter ref="A1:R26" xr:uid="{00000000-0009-0000-0100-000001000000}"/>
  <tableColumns count="18">
    <tableColumn id="1" xr3:uid="{00000000-0010-0000-0000-000001000000}" name="Assessment ID">
      <calculatedColumnFormula>"VDD"&amp;TEXT(ROW()-1,"000")</calculatedColumnFormula>
    </tableColumn>
    <tableColumn id="2" xr3:uid="{00000000-0010-0000-0000-000002000000}" name="Vendor ID" dataDxfId="26">
      <calculatedColumnFormula>"V"&amp;TEXT(ROW()-1,"000")</calculatedColumnFormula>
    </tableColumn>
    <tableColumn id="3" xr3:uid="{00000000-0010-0000-0000-000003000000}" name="Vendor Name" dataDxfId="25">
      <calculatedColumnFormula>_xlfn.XLOOKUP(
tblVendorAssessment[[#This Row],[Vendor ID]],
tblVendorRegister[Vendor ID],
tblVendorRegister[Vendor Name]
)</calculatedColumnFormula>
    </tableColumn>
    <tableColumn id="4" xr3:uid="{00000000-0010-0000-0000-000004000000}" name="Service Category" dataDxfId="24">
      <calculatedColumnFormula>_xlfn.XLOOKUP(
tblVendorAssessment[[#This Row],[Vendor ID]],
tblVendorRegister[Vendor ID],
tblVendorRegister[Service Category]
)</calculatedColumnFormula>
    </tableColumn>
    <tableColumn id="5" xr3:uid="{00000000-0010-0000-0000-000005000000}" name="Assessment Date"/>
    <tableColumn id="6" xr3:uid="{00000000-0010-0000-0000-000006000000}" name="Assessor"/>
    <tableColumn id="7" xr3:uid="{00000000-0010-0000-0000-000007000000}" name="Information Security"/>
    <tableColumn id="8" xr3:uid="{00000000-0010-0000-0000-000008000000}" name="Privacy Compliance"/>
    <tableColumn id="9" xr3:uid="{00000000-0010-0000-0000-000009000000}" name="Legal &amp; Regulatory Compliance"/>
    <tableColumn id="10" xr3:uid="{00000000-0010-0000-0000-00000A000000}" name="Business Continuity"/>
    <tableColumn id="11" xr3:uid="{00000000-0010-0000-0000-00000B000000}" name="Financial Stability"/>
    <tableColumn id="12" xr3:uid="{00000000-0010-0000-0000-00000C000000}" name="Fourth-Party Management"/>
    <tableColumn id="20" xr3:uid="{3FB22A01-3468-4ED9-B662-D3F9AC814537}" name="Information Sensitivity"/>
    <tableColumn id="14" xr3:uid="{00000000-0010-0000-0000-00000E000000}" name="Overall Due Diligence Score" dataDxfId="23">
      <calculatedColumnFormula>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calculatedColumnFormula>
    </tableColumn>
    <tableColumn id="18" xr3:uid="{05B0587F-B53E-4398-8009-F266AF09B6EB}" name="Overall Risk Rating" dataDxfId="22">
      <calculatedColumnFormula array="1">_xlfn.LET(
_xlpm.DD,
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
_xlpm.Sensitivity,
_xlfn.XLOOKUP(tblVendorAssessment[[#This Row],[Information Sensitivity]],tblSensitivity[Level],tblSensitivity[Score]),
_xlpm.Total,
_xlpm.DD+_xlpm.Sensitivity,
_xlfn.IFS(
_xlpm.Total&gt;=15,"Low",
_xlpm.Total&gt;=11,"Medium",
_xlpm.Total&gt;=7,"High",
TRUE,"Critical"
))</calculatedColumnFormula>
    </tableColumn>
    <tableColumn id="13" xr3:uid="{00000000-0010-0000-0000-00000D000000}" name="Overall Control Effectiveness" dataDxfId="21">
      <calculatedColumnFormula array="1">_xlfn.IFS(
AND(tblVendorAssessment[[#This Row],[Overall Due Diligence Score]]&gt;=10,tblVendorAssessment[[#This Row],[Overall Risk Rating]]="Low"),"Strong",
AND(tblVendorAssessment[[#This Row],[Overall Due Diligence Score]]&gt;=10,OR(tblVendorAssessment[[#This Row],[Overall Risk Rating]]="Medium",tblVendorAssessment[[#This Row],[Overall Risk Rating]]="High",tblVendorAssessment[[#This Row],[Overall Risk Rating]]="Critical")),"Adequate",
AND(tblVendorAssessment[[#This Row],[Overall Due Diligence Score]]&gt;=7,tblVendorAssessment[[#This Row],[Overall Risk Rating]]="Low"),"Adequate",
AND(tblVendorAssessment[[#This Row],[Overall Due Diligence Score]]&gt;=7,tblVendorAssessment[[#This Row],[Overall Risk Rating]]="Medium"),"Moderate",
AND(tblVendorAssessment[[#This Row],[Overall Due Diligence Score]]&gt;=7,OR(tblVendorAssessment[[#This Row],[Overall Risk Rating]]="High",tblVendorAssessment[[#This Row],[Overall Risk Rating]]="Critical")),"Weak",
AND(tblVendorAssessment[[#This Row],[Overall Due Diligence Score]]&lt;7,tblVendorAssessment[[#This Row],[Overall Risk Rating]]="Low"),"Moderate",
TRUE,"Weak"
)</calculatedColumnFormula>
    </tableColumn>
    <tableColumn id="16" xr3:uid="{00000000-0010-0000-0000-000010000000}" name="Recommendation" dataDxfId="20">
      <calculatedColumnFormula array="1">_xlfn.IFS(
tblVendorAssessment[[#This Row],[Overall Control Effectiveness]]="Strong","Approve",
tblVendorAssessment[[#This Row],[Overall Control Effectiveness]]="Adequate","Approve with Monitoring",
tblVendorAssessment[[#This Row],[Overall Control Effectiveness]]="Moderate","Conditional Approval",
tblVendorAssessment[[#This Row],[Overall Control Effectiveness]]="Weak","Rejected"
)</calculatedColumnFormula>
    </tableColumn>
    <tableColumn id="17" xr3:uid="{00000000-0010-0000-0000-000011000000}" name="Commen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72CBF7D-7E2E-4CAA-B837-FD8D83AEA951}" name="Table16" displayName="Table16" ref="A7:B11" totalsRowShown="0">
  <autoFilter ref="A7:B11" xr:uid="{772CBF7D-7E2E-4CAA-B837-FD8D83AEA951}"/>
  <tableColumns count="2">
    <tableColumn id="1" xr3:uid="{F972A9E7-752A-47FE-8CAF-30893D338A93}" name="Risk Rating" dataDxfId="19"/>
    <tableColumn id="2" xr3:uid="{1886579D-FDCC-4C23-AA81-9C809875D6BE}" name="Count" dataDxfId="1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8509D9-B9CE-4C0C-8E2C-2A364FBC71B4}" name="Table17" displayName="Table17" ref="A20:B24" totalsRowShown="0">
  <autoFilter ref="A20:B24" xr:uid="{008509D9-B9CE-4C0C-8E2C-2A364FBC71B4}"/>
  <tableColumns count="2">
    <tableColumn id="1" xr3:uid="{8C9D36F3-16CE-4629-B821-BACF683119F2}" name="Effectiveness" dataDxfId="17"/>
    <tableColumn id="2" xr3:uid="{1E4ACCC3-82BF-4C32-9C0F-EE9AE5DF9E08}" name="Count" dataDxfId="1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7DB009-AD3F-43FA-9564-A656CAF8C775}" name="lstRiskLevel" displayName="lstRiskLevel" ref="A1:A5" totalsRowShown="0">
  <autoFilter ref="A1:A5" xr:uid="{E87DB009-AD3F-43FA-9564-A656CAF8C775}"/>
  <tableColumns count="1">
    <tableColumn id="1" xr3:uid="{B2441159-0363-4416-8486-9120C6AD0C8B}" name="Initial Risk"/>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56DA6C7-5215-4176-8722-44815392D651}" name="tblDueDiligenceLookup" displayName="tblDueDiligenceLookup" ref="C1:D4" totalsRowShown="0">
  <autoFilter ref="C1:D4" xr:uid="{856DA6C7-5215-4176-8722-44815392D651}"/>
  <tableColumns count="2">
    <tableColumn id="1" xr3:uid="{DDCCDE6A-4050-4E4E-9664-8521B6AA6665}" name="Response"/>
    <tableColumn id="2" xr3:uid="{71F4A8F1-EA8B-47DE-860B-2245097FD8C2}" name="Scor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2B2DDEB-9AFB-4FC1-A5D1-BE2EB1D1621E}" name="tblControlLookup" displayName="tblControlLookup" ref="F1:G4" totalsRowShown="0">
  <autoFilter ref="F1:G4" xr:uid="{72B2DDEB-9AFB-4FC1-A5D1-BE2EB1D1621E}"/>
  <tableColumns count="2">
    <tableColumn id="1" xr3:uid="{1021F654-686F-4F95-B1D4-67A789F4D5D3}" name="Control Effectiveness"/>
    <tableColumn id="2" xr3:uid="{6EC1B388-CA2A-4C68-A551-AD879D30655A}" name="Modifie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A40EB4E-54DA-4042-AD1E-AFE871A3E73C}" name="tblSensitivity" displayName="tblSensitivity" ref="I1:J5" totalsRowShown="0">
  <autoFilter ref="I1:J5" xr:uid="{BA40EB4E-54DA-4042-AD1E-AFE871A3E73C}"/>
  <tableColumns count="2">
    <tableColumn id="1" xr3:uid="{A27ADD80-FF79-478A-A40A-303D5F691337}" name="Level"/>
    <tableColumn id="2" xr3:uid="{59FCF36D-76CF-4EBF-BD19-A00219E24D63}" name="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414CC-521B-4EC7-A396-04B3165644A0}">
  <dimension ref="A1:B182"/>
  <sheetViews>
    <sheetView showGridLines="0" tabSelected="1" topLeftCell="A6" zoomScale="98" zoomScaleNormal="98" workbookViewId="0">
      <selection activeCell="D20" sqref="D20"/>
    </sheetView>
  </sheetViews>
  <sheetFormatPr defaultRowHeight="15" x14ac:dyDescent="0.25"/>
  <cols>
    <col min="1" max="1" width="48.85546875" bestFit="1" customWidth="1"/>
    <col min="2" max="2" width="8.42578125" customWidth="1"/>
  </cols>
  <sheetData>
    <row r="1" spans="1:2" ht="18.75" x14ac:dyDescent="0.3">
      <c r="A1" s="4" t="s">
        <v>143</v>
      </c>
      <c r="B1" s="5"/>
    </row>
    <row r="2" spans="1:2" ht="345" x14ac:dyDescent="0.25">
      <c r="A2" s="1" t="s">
        <v>144</v>
      </c>
    </row>
    <row r="4" spans="1:2" ht="18.75" x14ac:dyDescent="0.3">
      <c r="A4" s="4" t="s">
        <v>0</v>
      </c>
    </row>
    <row r="5" spans="1:2" ht="285" x14ac:dyDescent="0.25">
      <c r="A5" s="1" t="s">
        <v>6</v>
      </c>
    </row>
    <row r="7" spans="1:2" ht="18.75" x14ac:dyDescent="0.3">
      <c r="A7" s="16" t="s">
        <v>40</v>
      </c>
      <c r="B7" s="17"/>
    </row>
    <row r="8" spans="1:2" x14ac:dyDescent="0.25">
      <c r="A8" t="s">
        <v>7</v>
      </c>
    </row>
    <row r="9" spans="1:2" x14ac:dyDescent="0.25">
      <c r="A9" t="s">
        <v>8</v>
      </c>
    </row>
    <row r="10" spans="1:2" x14ac:dyDescent="0.25">
      <c r="A10" t="s">
        <v>9</v>
      </c>
    </row>
    <row r="11" spans="1:2" x14ac:dyDescent="0.25">
      <c r="A11" t="s">
        <v>10</v>
      </c>
    </row>
    <row r="12" spans="1:2" x14ac:dyDescent="0.25">
      <c r="A12" t="s">
        <v>11</v>
      </c>
    </row>
    <row r="13" spans="1:2" x14ac:dyDescent="0.25">
      <c r="A13" t="s">
        <v>12</v>
      </c>
    </row>
    <row r="14" spans="1:2" x14ac:dyDescent="0.25">
      <c r="A14" t="s">
        <v>13</v>
      </c>
    </row>
    <row r="15" spans="1:2" x14ac:dyDescent="0.25">
      <c r="A15" t="s">
        <v>14</v>
      </c>
    </row>
    <row r="17" spans="1:2" ht="18.75" x14ac:dyDescent="0.3">
      <c r="A17" s="2" t="s">
        <v>41</v>
      </c>
      <c r="B17" s="3"/>
    </row>
    <row r="18" spans="1:2" x14ac:dyDescent="0.25">
      <c r="A18" s="8" t="s">
        <v>15</v>
      </c>
      <c r="B18" s="8" t="s">
        <v>16</v>
      </c>
    </row>
    <row r="19" spans="1:2" x14ac:dyDescent="0.25">
      <c r="A19" t="s">
        <v>17</v>
      </c>
      <c r="B19" t="s">
        <v>18</v>
      </c>
    </row>
    <row r="20" spans="1:2" x14ac:dyDescent="0.25">
      <c r="A20" t="s">
        <v>19</v>
      </c>
      <c r="B20" t="s">
        <v>20</v>
      </c>
    </row>
    <row r="21" spans="1:2" x14ac:dyDescent="0.25">
      <c r="A21" t="s">
        <v>213</v>
      </c>
      <c r="B21" t="s">
        <v>21</v>
      </c>
    </row>
    <row r="22" spans="1:2" x14ac:dyDescent="0.25">
      <c r="A22" t="s">
        <v>22</v>
      </c>
      <c r="B22" t="s">
        <v>23</v>
      </c>
    </row>
    <row r="24" spans="1:2" ht="18.75" x14ac:dyDescent="0.3">
      <c r="A24" s="2" t="s">
        <v>42</v>
      </c>
    </row>
    <row r="25" spans="1:2" x14ac:dyDescent="0.25">
      <c r="A25" t="s">
        <v>24</v>
      </c>
    </row>
    <row r="26" spans="1:2" x14ac:dyDescent="0.25">
      <c r="A26" t="s">
        <v>25</v>
      </c>
    </row>
    <row r="27" spans="1:2" x14ac:dyDescent="0.25">
      <c r="A27" t="s">
        <v>26</v>
      </c>
    </row>
    <row r="28" spans="1:2" x14ac:dyDescent="0.25">
      <c r="A28" t="s">
        <v>27</v>
      </c>
    </row>
    <row r="29" spans="1:2" x14ac:dyDescent="0.25">
      <c r="A29" t="s">
        <v>28</v>
      </c>
    </row>
    <row r="30" spans="1:2" x14ac:dyDescent="0.25">
      <c r="A30" t="s">
        <v>29</v>
      </c>
    </row>
    <row r="31" spans="1:2" x14ac:dyDescent="0.25">
      <c r="A31" t="s">
        <v>30</v>
      </c>
    </row>
    <row r="32" spans="1:2" x14ac:dyDescent="0.25">
      <c r="A32" t="s">
        <v>31</v>
      </c>
    </row>
    <row r="33" spans="1:2" x14ac:dyDescent="0.25">
      <c r="A33" t="s">
        <v>32</v>
      </c>
    </row>
    <row r="34" spans="1:2" x14ac:dyDescent="0.25">
      <c r="A34" t="s">
        <v>33</v>
      </c>
    </row>
    <row r="36" spans="1:2" ht="18.75" x14ac:dyDescent="0.3">
      <c r="A36" s="16" t="s">
        <v>43</v>
      </c>
      <c r="B36" s="17"/>
    </row>
    <row r="37" spans="1:2" x14ac:dyDescent="0.25">
      <c r="A37" t="s">
        <v>34</v>
      </c>
    </row>
    <row r="39" spans="1:2" x14ac:dyDescent="0.25">
      <c r="A39" t="s">
        <v>35</v>
      </c>
    </row>
    <row r="40" spans="1:2" x14ac:dyDescent="0.25">
      <c r="A40" t="s">
        <v>36</v>
      </c>
    </row>
    <row r="41" spans="1:2" x14ac:dyDescent="0.25">
      <c r="A41" t="s">
        <v>37</v>
      </c>
    </row>
    <row r="42" spans="1:2" x14ac:dyDescent="0.25">
      <c r="A42" t="s">
        <v>38</v>
      </c>
    </row>
    <row r="43" spans="1:2" x14ac:dyDescent="0.25">
      <c r="A43" t="s">
        <v>209</v>
      </c>
    </row>
    <row r="44" spans="1:2" x14ac:dyDescent="0.25">
      <c r="A44" t="s">
        <v>39</v>
      </c>
    </row>
    <row r="182" spans="1:1" x14ac:dyDescent="0.25">
      <c r="A182" t="s">
        <v>5</v>
      </c>
    </row>
  </sheetData>
  <mergeCells count="2">
    <mergeCell ref="A7:B7"/>
    <mergeCell ref="A36:B36"/>
  </mergeCells>
  <conditionalFormatting sqref="A4:A5">
    <cfRule type="duplicateValues" dxfId="15" priority="2"/>
  </conditionalFormatting>
  <conditionalFormatting sqref="A1:A2">
    <cfRule type="duplicateValues" dxfId="14"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AC865-8E94-4FDD-9085-06E2319B9DC2}">
  <dimension ref="A1:U26"/>
  <sheetViews>
    <sheetView topLeftCell="F1" workbookViewId="0">
      <selection activeCell="S7" sqref="S7"/>
    </sheetView>
  </sheetViews>
  <sheetFormatPr defaultRowHeight="15" x14ac:dyDescent="0.25"/>
  <cols>
    <col min="1" max="1" width="12" customWidth="1"/>
    <col min="2" max="2" width="18.28515625" bestFit="1" customWidth="1"/>
    <col min="3" max="3" width="25" bestFit="1" customWidth="1"/>
    <col min="4" max="4" width="18.28515625" bestFit="1" customWidth="1"/>
    <col min="5" max="5" width="19.42578125" bestFit="1" customWidth="1"/>
    <col min="6" max="6" width="17.28515625" customWidth="1"/>
    <col min="7" max="7" width="25.42578125" customWidth="1"/>
    <col min="8" max="8" width="23" customWidth="1"/>
    <col min="9" max="9" width="23.28515625" customWidth="1"/>
    <col min="10" max="10" width="17.140625" customWidth="1"/>
    <col min="11" max="11" width="14.28515625" customWidth="1"/>
    <col min="12" max="12" width="16" customWidth="1"/>
    <col min="13" max="13" width="20.85546875" customWidth="1"/>
    <col min="14" max="14" width="15.5703125" customWidth="1"/>
    <col min="15" max="15" width="15.42578125" bestFit="1" customWidth="1"/>
    <col min="16" max="16" width="14.28515625" customWidth="1"/>
    <col min="17" max="17" width="19.42578125" customWidth="1"/>
    <col min="18" max="18" width="20.7109375" customWidth="1"/>
    <col min="19" max="19" width="24.5703125" bestFit="1" customWidth="1"/>
    <col min="20" max="20" width="28.85546875" bestFit="1" customWidth="1"/>
    <col min="21" max="21" width="15.85546875" bestFit="1" customWidth="1"/>
    <col min="22" max="22" width="15.5703125" customWidth="1"/>
  </cols>
  <sheetData>
    <row r="1" spans="1:21" x14ac:dyDescent="0.25">
      <c r="A1" t="s">
        <v>44</v>
      </c>
      <c r="B1" t="s">
        <v>45</v>
      </c>
      <c r="C1" t="s">
        <v>46</v>
      </c>
      <c r="D1" t="s">
        <v>48</v>
      </c>
      <c r="E1" t="s">
        <v>47</v>
      </c>
      <c r="F1" t="s">
        <v>49</v>
      </c>
      <c r="G1" t="s">
        <v>50</v>
      </c>
      <c r="H1" t="s">
        <v>51</v>
      </c>
      <c r="I1" t="s">
        <v>52</v>
      </c>
      <c r="J1" t="s">
        <v>53</v>
      </c>
      <c r="K1" t="s">
        <v>54</v>
      </c>
      <c r="L1" t="s">
        <v>55</v>
      </c>
      <c r="M1" t="s">
        <v>56</v>
      </c>
      <c r="N1" t="s">
        <v>57</v>
      </c>
      <c r="O1" t="s">
        <v>58</v>
      </c>
      <c r="P1" t="s">
        <v>59</v>
      </c>
      <c r="Q1" t="s">
        <v>60</v>
      </c>
      <c r="R1" t="s">
        <v>61</v>
      </c>
      <c r="S1" t="s">
        <v>212</v>
      </c>
      <c r="T1" t="s">
        <v>211</v>
      </c>
      <c r="U1" t="s">
        <v>62</v>
      </c>
    </row>
    <row r="2" spans="1:21" x14ac:dyDescent="0.25">
      <c r="A2" t="s">
        <v>64</v>
      </c>
      <c r="B2" t="s">
        <v>65</v>
      </c>
      <c r="C2" t="s">
        <v>66</v>
      </c>
      <c r="D2" t="s">
        <v>67</v>
      </c>
      <c r="E2" t="s">
        <v>24</v>
      </c>
      <c r="F2" t="s">
        <v>1</v>
      </c>
      <c r="G2" t="s">
        <v>1</v>
      </c>
      <c r="H2" t="s">
        <v>1</v>
      </c>
      <c r="I2" t="s">
        <v>1</v>
      </c>
      <c r="J2" t="s">
        <v>1</v>
      </c>
      <c r="K2" t="s">
        <v>1</v>
      </c>
      <c r="L2" t="str">
        <f>IF(AND(tblVendorRegister[[#This Row],[Cross-Border Transfer?]]="Yes",tblVendorRegister[[#This Row],[Processes Personal Data?]]="Yes"),"Yes","No")</f>
        <v>Yes</v>
      </c>
      <c r="M2" t="s">
        <v>2</v>
      </c>
      <c r="N2" t="s">
        <v>1</v>
      </c>
      <c r="O2" s="9">
        <v>45415</v>
      </c>
      <c r="P2" s="9">
        <v>46573</v>
      </c>
      <c r="Q2" t="s">
        <v>142</v>
      </c>
      <c r="R2" t="s">
        <v>210</v>
      </c>
      <c r="S2">
        <f>(IF(tblVendorRegister[[#This Row],[Critical Vendor?]]="Yes",3,0))
+(IF(tblVendorRegister[[#This Row],[Processes Personal Data?]]="Yes",2,0))
+(IF(tblVendorRegister[[#This Row],[Special Personal Data?]]="Yes",3,0))
+(IF(tblVendorRegister[[#This Row],[Cross-Border Transfer?]]="Yes",2,0))
+(IF(tblVendorRegister[[#This Row],[Data Processor?]]="Yes",2,0))</f>
        <v>12</v>
      </c>
      <c r="T2" t="str" cm="1">
        <f t="array" ref="T2">_xlfn.IFS(
tblVendorRegister[[#This Row],[Initial Risk Profile Score]]&gt;=10,"Critical",
tblVendorRegister[[#This Row],[Initial Risk Profile Score]]&gt;=7,"High",
tblVendorRegister[[#This Row],[Initial Risk Profile Score]]&gt;=4,"Medium",
TRUE,"Low"
)</f>
        <v>Critical</v>
      </c>
      <c r="U2" t="str" cm="1">
        <f t="array" aca="1" ref="U2" ca="1">_xlfn.IFS(
tblVendorRegister[[#This Row],[Contract End]]&lt;TODAY(),"Expired",
tblVendorRegister[[#This Row],[Contract End]]&lt;=TODAY()+90,"Renewal Due",
TRUE,"Active"
)</f>
        <v>Active</v>
      </c>
    </row>
    <row r="3" spans="1:21" x14ac:dyDescent="0.25">
      <c r="A3" t="s">
        <v>68</v>
      </c>
      <c r="B3" t="s">
        <v>69</v>
      </c>
      <c r="C3" t="s">
        <v>70</v>
      </c>
      <c r="D3" t="s">
        <v>71</v>
      </c>
      <c r="E3" t="s">
        <v>24</v>
      </c>
      <c r="F3" t="s">
        <v>1</v>
      </c>
      <c r="G3" t="s">
        <v>1</v>
      </c>
      <c r="H3" t="s">
        <v>2</v>
      </c>
      <c r="I3" t="s">
        <v>1</v>
      </c>
      <c r="J3" t="s">
        <v>1</v>
      </c>
      <c r="K3" t="s">
        <v>1</v>
      </c>
      <c r="L3" t="str">
        <f>IF(AND(tblVendorRegister[[#This Row],[Cross-Border Transfer?]]="Yes",tblVendorRegister[[#This Row],[Processes Personal Data?]]="Yes"),"Yes","No")</f>
        <v>Yes</v>
      </c>
      <c r="M3" t="s">
        <v>2</v>
      </c>
      <c r="N3" t="s">
        <v>2</v>
      </c>
      <c r="O3" s="9">
        <v>45416</v>
      </c>
      <c r="P3" s="9">
        <v>46574</v>
      </c>
      <c r="Q3" t="s">
        <v>142</v>
      </c>
      <c r="R3" t="s">
        <v>210</v>
      </c>
      <c r="S3">
        <f>(IF(tblVendorRegister[[#This Row],[Critical Vendor?]]="Yes",3,0))
+(IF(tblVendorRegister[[#This Row],[Processes Personal Data?]]="Yes",2,0))
+(IF(tblVendorRegister[[#This Row],[Special Personal Data?]]="Yes",3,0))
+(IF(tblVendorRegister[[#This Row],[Cross-Border Transfer?]]="Yes",2,0))
+(IF(tblVendorRegister[[#This Row],[Data Processor?]]="Yes",2,0))</f>
        <v>9</v>
      </c>
      <c r="T3" t="str" cm="1">
        <f t="array" ref="T3">_xlfn.IFS(
tblVendorRegister[[#This Row],[Initial Risk Profile Score]]&gt;=10,"Critical",
tblVendorRegister[[#This Row],[Initial Risk Profile Score]]&gt;=7,"High",
tblVendorRegister[[#This Row],[Initial Risk Profile Score]]&gt;=4,"Medium",
TRUE,"Low"
)</f>
        <v>High</v>
      </c>
      <c r="U3" t="str" cm="1">
        <f t="array" aca="1" ref="U3" ca="1">_xlfn.IFS(
tblVendorRegister[[#This Row],[Contract End]]&lt;TODAY(),"Expired",
tblVendorRegister[[#This Row],[Contract End]]&lt;=TODAY()+90,"Renewal Due",
TRUE,"Active"
)</f>
        <v>Active</v>
      </c>
    </row>
    <row r="4" spans="1:21" x14ac:dyDescent="0.25">
      <c r="A4" t="s">
        <v>72</v>
      </c>
      <c r="B4" t="s">
        <v>73</v>
      </c>
      <c r="C4" t="s">
        <v>74</v>
      </c>
      <c r="D4" t="s">
        <v>75</v>
      </c>
      <c r="E4" t="s">
        <v>24</v>
      </c>
      <c r="F4" t="s">
        <v>2</v>
      </c>
      <c r="G4" t="s">
        <v>1</v>
      </c>
      <c r="H4" t="s">
        <v>2</v>
      </c>
      <c r="I4" t="s">
        <v>1</v>
      </c>
      <c r="J4" t="s">
        <v>2</v>
      </c>
      <c r="K4" t="s">
        <v>1</v>
      </c>
      <c r="L4" t="str">
        <f>IF(AND(tblVendorRegister[[#This Row],[Cross-Border Transfer?]]="Yes",tblVendorRegister[[#This Row],[Processes Personal Data?]]="Yes"),"Yes","No")</f>
        <v>Yes</v>
      </c>
      <c r="M4" t="s">
        <v>1</v>
      </c>
      <c r="N4" t="s">
        <v>2</v>
      </c>
      <c r="O4" s="9">
        <v>45417</v>
      </c>
      <c r="P4" s="9">
        <v>46575</v>
      </c>
      <c r="Q4" t="s">
        <v>142</v>
      </c>
      <c r="R4" t="s">
        <v>210</v>
      </c>
      <c r="S4">
        <f>(IF(tblVendorRegister[[#This Row],[Critical Vendor?]]="Yes",3,0))
+(IF(tblVendorRegister[[#This Row],[Processes Personal Data?]]="Yes",2,0))
+(IF(tblVendorRegister[[#This Row],[Special Personal Data?]]="Yes",3,0))
+(IF(tblVendorRegister[[#This Row],[Cross-Border Transfer?]]="Yes",2,0))
+(IF(tblVendorRegister[[#This Row],[Data Processor?]]="Yes",2,0))</f>
        <v>4</v>
      </c>
      <c r="T4" t="str" cm="1">
        <f t="array" ref="T4">_xlfn.IFS(
tblVendorRegister[[#This Row],[Initial Risk Profile Score]]&gt;=10,"Critical",
tblVendorRegister[[#This Row],[Initial Risk Profile Score]]&gt;=7,"High",
tblVendorRegister[[#This Row],[Initial Risk Profile Score]]&gt;=4,"Medium",
TRUE,"Low"
)</f>
        <v>Medium</v>
      </c>
      <c r="U4" t="str" cm="1">
        <f t="array" aca="1" ref="U4" ca="1">_xlfn.IFS(
tblVendorRegister[[#This Row],[Contract End]]&lt;TODAY(),"Expired",
tblVendorRegister[[#This Row],[Contract End]]&lt;=TODAY()+90,"Renewal Due",
TRUE,"Active"
)</f>
        <v>Active</v>
      </c>
    </row>
    <row r="5" spans="1:21" x14ac:dyDescent="0.25">
      <c r="A5" t="s">
        <v>76</v>
      </c>
      <c r="B5" t="s">
        <v>77</v>
      </c>
      <c r="C5" t="s">
        <v>78</v>
      </c>
      <c r="D5" t="s">
        <v>79</v>
      </c>
      <c r="E5" t="s">
        <v>24</v>
      </c>
      <c r="F5" t="s">
        <v>1</v>
      </c>
      <c r="G5" t="s">
        <v>1</v>
      </c>
      <c r="H5" t="s">
        <v>2</v>
      </c>
      <c r="I5" t="s">
        <v>2</v>
      </c>
      <c r="J5" t="s">
        <v>1</v>
      </c>
      <c r="K5" t="s">
        <v>2</v>
      </c>
      <c r="L5" t="str">
        <f>IF(AND(tblVendorRegister[[#This Row],[Cross-Border Transfer?]]="Yes",tblVendorRegister[[#This Row],[Processes Personal Data?]]="Yes"),"Yes","No")</f>
        <v>No</v>
      </c>
      <c r="M5" t="s">
        <v>2</v>
      </c>
      <c r="N5" t="s">
        <v>2</v>
      </c>
      <c r="O5" s="9">
        <v>45418</v>
      </c>
      <c r="P5" s="9">
        <v>46576</v>
      </c>
      <c r="Q5" t="s">
        <v>142</v>
      </c>
      <c r="R5" t="s">
        <v>210</v>
      </c>
      <c r="S5">
        <f>(IF(tblVendorRegister[[#This Row],[Critical Vendor?]]="Yes",3,0))
+(IF(tblVendorRegister[[#This Row],[Processes Personal Data?]]="Yes",2,0))
+(IF(tblVendorRegister[[#This Row],[Special Personal Data?]]="Yes",3,0))
+(IF(tblVendorRegister[[#This Row],[Cross-Border Transfer?]]="Yes",2,0))
+(IF(tblVendorRegister[[#This Row],[Data Processor?]]="Yes",2,0))</f>
        <v>7</v>
      </c>
      <c r="T5" t="str" cm="1">
        <f t="array" ref="T5">_xlfn.IFS(
tblVendorRegister[[#This Row],[Initial Risk Profile Score]]&gt;=10,"Critical",
tblVendorRegister[[#This Row],[Initial Risk Profile Score]]&gt;=7,"High",
tblVendorRegister[[#This Row],[Initial Risk Profile Score]]&gt;=4,"Medium",
TRUE,"Low"
)</f>
        <v>High</v>
      </c>
      <c r="U5" t="str" cm="1">
        <f t="array" aca="1" ref="U5" ca="1">_xlfn.IFS(
tblVendorRegister[[#This Row],[Contract End]]&lt;TODAY(),"Expired",
tblVendorRegister[[#This Row],[Contract End]]&lt;=TODAY()+90,"Renewal Due",
TRUE,"Active"
)</f>
        <v>Active</v>
      </c>
    </row>
    <row r="6" spans="1:21" x14ac:dyDescent="0.25">
      <c r="A6" t="s">
        <v>80</v>
      </c>
      <c r="B6" t="s">
        <v>81</v>
      </c>
      <c r="C6" t="s">
        <v>78</v>
      </c>
      <c r="D6" t="s">
        <v>79</v>
      </c>
      <c r="E6" t="s">
        <v>24</v>
      </c>
      <c r="F6" t="s">
        <v>1</v>
      </c>
      <c r="G6" t="s">
        <v>1</v>
      </c>
      <c r="H6" t="s">
        <v>2</v>
      </c>
      <c r="I6" t="s">
        <v>2</v>
      </c>
      <c r="J6" t="s">
        <v>1</v>
      </c>
      <c r="K6" t="s">
        <v>2</v>
      </c>
      <c r="L6" t="str">
        <f>IF(AND(tblVendorRegister[[#This Row],[Cross-Border Transfer?]]="Yes",tblVendorRegister[[#This Row],[Processes Personal Data?]]="Yes"),"Yes","No")</f>
        <v>No</v>
      </c>
      <c r="M6" t="s">
        <v>2</v>
      </c>
      <c r="N6" t="s">
        <v>2</v>
      </c>
      <c r="O6" s="9">
        <v>45419</v>
      </c>
      <c r="P6" s="9">
        <v>46577</v>
      </c>
      <c r="Q6" t="s">
        <v>142</v>
      </c>
      <c r="R6" t="s">
        <v>210</v>
      </c>
      <c r="S6">
        <f>(IF(tblVendorRegister[[#This Row],[Critical Vendor?]]="Yes",3,0))
+(IF(tblVendorRegister[[#This Row],[Processes Personal Data?]]="Yes",2,0))
+(IF(tblVendorRegister[[#This Row],[Special Personal Data?]]="Yes",3,0))
+(IF(tblVendorRegister[[#This Row],[Cross-Border Transfer?]]="Yes",2,0))
+(IF(tblVendorRegister[[#This Row],[Data Processor?]]="Yes",2,0))</f>
        <v>7</v>
      </c>
      <c r="T6" t="str" cm="1">
        <f t="array" ref="T6">_xlfn.IFS(
tblVendorRegister[[#This Row],[Initial Risk Profile Score]]&gt;=10,"Critical",
tblVendorRegister[[#This Row],[Initial Risk Profile Score]]&gt;=7,"High",
tblVendorRegister[[#This Row],[Initial Risk Profile Score]]&gt;=4,"Medium",
TRUE,"Low"
)</f>
        <v>High</v>
      </c>
      <c r="U6" t="str" cm="1">
        <f t="array" aca="1" ref="U6" ca="1">_xlfn.IFS(
tblVendorRegister[[#This Row],[Contract End]]&lt;TODAY(),"Expired",
tblVendorRegister[[#This Row],[Contract End]]&lt;=TODAY()+90,"Renewal Due",
TRUE,"Active"
)</f>
        <v>Active</v>
      </c>
    </row>
    <row r="7" spans="1:21" x14ac:dyDescent="0.25">
      <c r="A7" t="s">
        <v>82</v>
      </c>
      <c r="B7" t="s">
        <v>83</v>
      </c>
      <c r="C7" t="s">
        <v>66</v>
      </c>
      <c r="D7" t="s">
        <v>71</v>
      </c>
      <c r="E7" t="s">
        <v>24</v>
      </c>
      <c r="F7" t="s">
        <v>1</v>
      </c>
      <c r="G7" t="s">
        <v>1</v>
      </c>
      <c r="H7" t="s">
        <v>2</v>
      </c>
      <c r="I7" t="s">
        <v>1</v>
      </c>
      <c r="J7" t="s">
        <v>1</v>
      </c>
      <c r="K7" t="s">
        <v>1</v>
      </c>
      <c r="L7" t="str">
        <f>IF(AND(tblVendorRegister[[#This Row],[Cross-Border Transfer?]]="Yes",tblVendorRegister[[#This Row],[Processes Personal Data?]]="Yes"),"Yes","No")</f>
        <v>Yes</v>
      </c>
      <c r="M7" t="s">
        <v>2</v>
      </c>
      <c r="N7" t="s">
        <v>1</v>
      </c>
      <c r="O7" s="9">
        <v>45420</v>
      </c>
      <c r="P7" s="9">
        <v>46578</v>
      </c>
      <c r="Q7" t="s">
        <v>142</v>
      </c>
      <c r="R7" t="s">
        <v>210</v>
      </c>
      <c r="S7">
        <f>(IF(tblVendorRegister[[#This Row],[Critical Vendor?]]="Yes",3,0))
+(IF(tblVendorRegister[[#This Row],[Processes Personal Data?]]="Yes",2,0))
+(IF(tblVendorRegister[[#This Row],[Special Personal Data?]]="Yes",3,0))
+(IF(tblVendorRegister[[#This Row],[Cross-Border Transfer?]]="Yes",2,0))
+(IF(tblVendorRegister[[#This Row],[Data Processor?]]="Yes",2,0))</f>
        <v>9</v>
      </c>
      <c r="T7" t="str" cm="1">
        <f t="array" ref="T7">_xlfn.IFS(
tblVendorRegister[[#This Row],[Initial Risk Profile Score]]&gt;=10,"Critical",
tblVendorRegister[[#This Row],[Initial Risk Profile Score]]&gt;=7,"High",
tblVendorRegister[[#This Row],[Initial Risk Profile Score]]&gt;=4,"Medium",
TRUE,"Low"
)</f>
        <v>High</v>
      </c>
      <c r="U7" t="str" cm="1">
        <f t="array" aca="1" ref="U7" ca="1">_xlfn.IFS(
tblVendorRegister[[#This Row],[Contract End]]&lt;TODAY(),"Expired",
tblVendorRegister[[#This Row],[Contract End]]&lt;=TODAY()+90,"Renewal Due",
TRUE,"Active"
)</f>
        <v>Active</v>
      </c>
    </row>
    <row r="8" spans="1:21" x14ac:dyDescent="0.25">
      <c r="A8" t="s">
        <v>84</v>
      </c>
      <c r="B8" t="s">
        <v>85</v>
      </c>
      <c r="C8" t="s">
        <v>86</v>
      </c>
      <c r="D8" t="s">
        <v>75</v>
      </c>
      <c r="E8" t="s">
        <v>24</v>
      </c>
      <c r="F8" t="s">
        <v>1</v>
      </c>
      <c r="G8" t="s">
        <v>1</v>
      </c>
      <c r="H8" t="s">
        <v>1</v>
      </c>
      <c r="I8" t="s">
        <v>1</v>
      </c>
      <c r="J8" t="s">
        <v>1</v>
      </c>
      <c r="K8" t="s">
        <v>1</v>
      </c>
      <c r="L8" t="str">
        <f>IF(AND(tblVendorRegister[[#This Row],[Cross-Border Transfer?]]="Yes",tblVendorRegister[[#This Row],[Processes Personal Data?]]="Yes"),"Yes","No")</f>
        <v>Yes</v>
      </c>
      <c r="M8" t="s">
        <v>1</v>
      </c>
      <c r="N8" t="s">
        <v>1</v>
      </c>
      <c r="O8" s="9">
        <v>45421</v>
      </c>
      <c r="P8" s="9">
        <v>46579</v>
      </c>
      <c r="Q8" t="s">
        <v>142</v>
      </c>
      <c r="R8" t="s">
        <v>210</v>
      </c>
      <c r="S8">
        <f>(IF(tblVendorRegister[[#This Row],[Critical Vendor?]]="Yes",3,0))
+(IF(tblVendorRegister[[#This Row],[Processes Personal Data?]]="Yes",2,0))
+(IF(tblVendorRegister[[#This Row],[Special Personal Data?]]="Yes",3,0))
+(IF(tblVendorRegister[[#This Row],[Cross-Border Transfer?]]="Yes",2,0))
+(IF(tblVendorRegister[[#This Row],[Data Processor?]]="Yes",2,0))</f>
        <v>12</v>
      </c>
      <c r="T8" t="str" cm="1">
        <f t="array" ref="T8">_xlfn.IFS(
tblVendorRegister[[#This Row],[Initial Risk Profile Score]]&gt;=10,"Critical",
tblVendorRegister[[#This Row],[Initial Risk Profile Score]]&gt;=7,"High",
tblVendorRegister[[#This Row],[Initial Risk Profile Score]]&gt;=4,"Medium",
TRUE,"Low"
)</f>
        <v>Critical</v>
      </c>
      <c r="U8" t="str" cm="1">
        <f t="array" aca="1" ref="U8" ca="1">_xlfn.IFS(
tblVendorRegister[[#This Row],[Contract End]]&lt;TODAY(),"Expired",
tblVendorRegister[[#This Row],[Contract End]]&lt;=TODAY()+90,"Renewal Due",
TRUE,"Active"
)</f>
        <v>Active</v>
      </c>
    </row>
    <row r="9" spans="1:21" x14ac:dyDescent="0.25">
      <c r="A9" t="s">
        <v>87</v>
      </c>
      <c r="B9" t="s">
        <v>88</v>
      </c>
      <c r="C9" t="s">
        <v>89</v>
      </c>
      <c r="D9" t="s">
        <v>75</v>
      </c>
      <c r="E9" t="s">
        <v>24</v>
      </c>
      <c r="F9" t="s">
        <v>1</v>
      </c>
      <c r="G9" t="s">
        <v>1</v>
      </c>
      <c r="H9" t="s">
        <v>2</v>
      </c>
      <c r="I9" t="s">
        <v>1</v>
      </c>
      <c r="J9" t="s">
        <v>2</v>
      </c>
      <c r="K9" t="s">
        <v>1</v>
      </c>
      <c r="L9" t="str">
        <f>IF(AND(tblVendorRegister[[#This Row],[Cross-Border Transfer?]]="Yes",tblVendorRegister[[#This Row],[Processes Personal Data?]]="Yes"),"Yes","No")</f>
        <v>Yes</v>
      </c>
      <c r="M9" t="s">
        <v>2</v>
      </c>
      <c r="N9" t="s">
        <v>2</v>
      </c>
      <c r="O9" s="9">
        <v>45422</v>
      </c>
      <c r="P9" s="9">
        <v>46580</v>
      </c>
      <c r="Q9" t="s">
        <v>142</v>
      </c>
      <c r="R9" t="s">
        <v>210</v>
      </c>
      <c r="S9">
        <f>(IF(tblVendorRegister[[#This Row],[Critical Vendor?]]="Yes",3,0))
+(IF(tblVendorRegister[[#This Row],[Processes Personal Data?]]="Yes",2,0))
+(IF(tblVendorRegister[[#This Row],[Special Personal Data?]]="Yes",3,0))
+(IF(tblVendorRegister[[#This Row],[Cross-Border Transfer?]]="Yes",2,0))
+(IF(tblVendorRegister[[#This Row],[Data Processor?]]="Yes",2,0))</f>
        <v>7</v>
      </c>
      <c r="T9" t="str" cm="1">
        <f t="array" ref="T9">_xlfn.IFS(
tblVendorRegister[[#This Row],[Initial Risk Profile Score]]&gt;=10,"Critical",
tblVendorRegister[[#This Row],[Initial Risk Profile Score]]&gt;=7,"High",
tblVendorRegister[[#This Row],[Initial Risk Profile Score]]&gt;=4,"Medium",
TRUE,"Low"
)</f>
        <v>High</v>
      </c>
      <c r="U9" t="str" cm="1">
        <f t="array" aca="1" ref="U9" ca="1">_xlfn.IFS(
tblVendorRegister[[#This Row],[Contract End]]&lt;TODAY(),"Expired",
tblVendorRegister[[#This Row],[Contract End]]&lt;=TODAY()+90,"Renewal Due",
TRUE,"Active"
)</f>
        <v>Active</v>
      </c>
    </row>
    <row r="10" spans="1:21" x14ac:dyDescent="0.25">
      <c r="A10" t="s">
        <v>90</v>
      </c>
      <c r="B10" t="s">
        <v>91</v>
      </c>
      <c r="C10" t="s">
        <v>26</v>
      </c>
      <c r="D10" t="s">
        <v>75</v>
      </c>
      <c r="E10" t="s">
        <v>24</v>
      </c>
      <c r="F10" t="s">
        <v>1</v>
      </c>
      <c r="G10" t="s">
        <v>1</v>
      </c>
      <c r="H10" t="s">
        <v>2</v>
      </c>
      <c r="I10" t="s">
        <v>1</v>
      </c>
      <c r="J10" t="s">
        <v>1</v>
      </c>
      <c r="K10" t="s">
        <v>2</v>
      </c>
      <c r="L10" t="str">
        <f>IF(AND(tblVendorRegister[[#This Row],[Cross-Border Transfer?]]="Yes",tblVendorRegister[[#This Row],[Processes Personal Data?]]="Yes"),"Yes","No")</f>
        <v>Yes</v>
      </c>
      <c r="M10" t="s">
        <v>1</v>
      </c>
      <c r="N10" t="s">
        <v>2</v>
      </c>
      <c r="O10" s="9">
        <v>45423</v>
      </c>
      <c r="P10" s="9">
        <v>46581</v>
      </c>
      <c r="Q10" t="s">
        <v>142</v>
      </c>
      <c r="R10" t="s">
        <v>210</v>
      </c>
      <c r="S10">
        <f>(IF(tblVendorRegister[[#This Row],[Critical Vendor?]]="Yes",3,0))
+(IF(tblVendorRegister[[#This Row],[Processes Personal Data?]]="Yes",2,0))
+(IF(tblVendorRegister[[#This Row],[Special Personal Data?]]="Yes",3,0))
+(IF(tblVendorRegister[[#This Row],[Cross-Border Transfer?]]="Yes",2,0))
+(IF(tblVendorRegister[[#This Row],[Data Processor?]]="Yes",2,0))</f>
        <v>9</v>
      </c>
      <c r="T10" t="str" cm="1">
        <f t="array" ref="T10">_xlfn.IFS(
tblVendorRegister[[#This Row],[Initial Risk Profile Score]]&gt;=10,"Critical",
tblVendorRegister[[#This Row],[Initial Risk Profile Score]]&gt;=7,"High",
tblVendorRegister[[#This Row],[Initial Risk Profile Score]]&gt;=4,"Medium",
TRUE,"Low"
)</f>
        <v>High</v>
      </c>
      <c r="U10" t="str" cm="1">
        <f t="array" aca="1" ref="U10" ca="1">_xlfn.IFS(
tblVendorRegister[[#This Row],[Contract End]]&lt;TODAY(),"Expired",
tblVendorRegister[[#This Row],[Contract End]]&lt;=TODAY()+90,"Renewal Due",
TRUE,"Active"
)</f>
        <v>Active</v>
      </c>
    </row>
    <row r="11" spans="1:21" x14ac:dyDescent="0.25">
      <c r="A11" t="s">
        <v>92</v>
      </c>
      <c r="B11" t="s">
        <v>93</v>
      </c>
      <c r="C11" t="s">
        <v>94</v>
      </c>
      <c r="D11" t="s">
        <v>79</v>
      </c>
      <c r="E11" t="s">
        <v>24</v>
      </c>
      <c r="F11" t="s">
        <v>1</v>
      </c>
      <c r="G11" t="s">
        <v>1</v>
      </c>
      <c r="H11" t="s">
        <v>2</v>
      </c>
      <c r="I11" t="s">
        <v>2</v>
      </c>
      <c r="J11" t="s">
        <v>2</v>
      </c>
      <c r="K11" t="s">
        <v>1</v>
      </c>
      <c r="L11" t="str">
        <f>IF(AND(tblVendorRegister[[#This Row],[Cross-Border Transfer?]]="Yes",tblVendorRegister[[#This Row],[Processes Personal Data?]]="Yes"),"Yes","No")</f>
        <v>No</v>
      </c>
      <c r="M11" t="s">
        <v>2</v>
      </c>
      <c r="N11" t="s">
        <v>2</v>
      </c>
      <c r="O11" s="9">
        <v>45424</v>
      </c>
      <c r="P11" s="9">
        <v>46582</v>
      </c>
      <c r="Q11" t="s">
        <v>142</v>
      </c>
      <c r="R11" t="s">
        <v>210</v>
      </c>
      <c r="S11">
        <f>(IF(tblVendorRegister[[#This Row],[Critical Vendor?]]="Yes",3,0))
+(IF(tblVendorRegister[[#This Row],[Processes Personal Data?]]="Yes",2,0))
+(IF(tblVendorRegister[[#This Row],[Special Personal Data?]]="Yes",3,0))
+(IF(tblVendorRegister[[#This Row],[Cross-Border Transfer?]]="Yes",2,0))
+(IF(tblVendorRegister[[#This Row],[Data Processor?]]="Yes",2,0))</f>
        <v>5</v>
      </c>
      <c r="T11" t="str" cm="1">
        <f t="array" ref="T11">_xlfn.IFS(
tblVendorRegister[[#This Row],[Initial Risk Profile Score]]&gt;=10,"Critical",
tblVendorRegister[[#This Row],[Initial Risk Profile Score]]&gt;=7,"High",
tblVendorRegister[[#This Row],[Initial Risk Profile Score]]&gt;=4,"Medium",
TRUE,"Low"
)</f>
        <v>Medium</v>
      </c>
      <c r="U11" t="str" cm="1">
        <f t="array" aca="1" ref="U11" ca="1">_xlfn.IFS(
tblVendorRegister[[#This Row],[Contract End]]&lt;TODAY(),"Expired",
tblVendorRegister[[#This Row],[Contract End]]&lt;=TODAY()+90,"Renewal Due",
TRUE,"Active"
)</f>
        <v>Active</v>
      </c>
    </row>
    <row r="12" spans="1:21" x14ac:dyDescent="0.25">
      <c r="A12" t="s">
        <v>95</v>
      </c>
      <c r="B12" t="s">
        <v>96</v>
      </c>
      <c r="C12" t="s">
        <v>97</v>
      </c>
      <c r="D12" t="s">
        <v>79</v>
      </c>
      <c r="E12" t="s">
        <v>24</v>
      </c>
      <c r="F12" t="s">
        <v>1</v>
      </c>
      <c r="G12" t="s">
        <v>1</v>
      </c>
      <c r="H12" t="s">
        <v>2</v>
      </c>
      <c r="I12" t="s">
        <v>2</v>
      </c>
      <c r="J12" t="s">
        <v>2</v>
      </c>
      <c r="K12" t="s">
        <v>1</v>
      </c>
      <c r="L12" t="str">
        <f>IF(AND(tblVendorRegister[[#This Row],[Cross-Border Transfer?]]="Yes",tblVendorRegister[[#This Row],[Processes Personal Data?]]="Yes"),"Yes","No")</f>
        <v>No</v>
      </c>
      <c r="M12" t="s">
        <v>2</v>
      </c>
      <c r="N12" t="s">
        <v>2</v>
      </c>
      <c r="O12" s="9">
        <v>45425</v>
      </c>
      <c r="P12" s="9">
        <v>46583</v>
      </c>
      <c r="Q12" t="s">
        <v>142</v>
      </c>
      <c r="R12" t="s">
        <v>210</v>
      </c>
      <c r="S12">
        <f>(IF(tblVendorRegister[[#This Row],[Critical Vendor?]]="Yes",3,0))
+(IF(tblVendorRegister[[#This Row],[Processes Personal Data?]]="Yes",2,0))
+(IF(tblVendorRegister[[#This Row],[Special Personal Data?]]="Yes",3,0))
+(IF(tblVendorRegister[[#This Row],[Cross-Border Transfer?]]="Yes",2,0))
+(IF(tblVendorRegister[[#This Row],[Data Processor?]]="Yes",2,0))</f>
        <v>5</v>
      </c>
      <c r="T12" t="str" cm="1">
        <f t="array" ref="T12">_xlfn.IFS(
tblVendorRegister[[#This Row],[Initial Risk Profile Score]]&gt;=10,"Critical",
tblVendorRegister[[#This Row],[Initial Risk Profile Score]]&gt;=7,"High",
tblVendorRegister[[#This Row],[Initial Risk Profile Score]]&gt;=4,"Medium",
TRUE,"Low"
)</f>
        <v>Medium</v>
      </c>
      <c r="U12" t="str" cm="1">
        <f t="array" aca="1" ref="U12" ca="1">_xlfn.IFS(
tblVendorRegister[[#This Row],[Contract End]]&lt;TODAY(),"Expired",
tblVendorRegister[[#This Row],[Contract End]]&lt;=TODAY()+90,"Renewal Due",
TRUE,"Active"
)</f>
        <v>Active</v>
      </c>
    </row>
    <row r="13" spans="1:21" x14ac:dyDescent="0.25">
      <c r="A13" t="s">
        <v>98</v>
      </c>
      <c r="B13" t="s">
        <v>99</v>
      </c>
      <c r="C13" t="s">
        <v>100</v>
      </c>
      <c r="D13" t="s">
        <v>79</v>
      </c>
      <c r="E13" t="s">
        <v>24</v>
      </c>
      <c r="F13" t="s">
        <v>1</v>
      </c>
      <c r="G13" t="s">
        <v>1</v>
      </c>
      <c r="H13" t="s">
        <v>2</v>
      </c>
      <c r="I13" t="s">
        <v>2</v>
      </c>
      <c r="J13" t="s">
        <v>2</v>
      </c>
      <c r="K13" t="s">
        <v>2</v>
      </c>
      <c r="L13" t="str">
        <f>IF(AND(tblVendorRegister[[#This Row],[Cross-Border Transfer?]]="Yes",tblVendorRegister[[#This Row],[Processes Personal Data?]]="Yes"),"Yes","No")</f>
        <v>No</v>
      </c>
      <c r="M13" t="s">
        <v>2</v>
      </c>
      <c r="N13" t="s">
        <v>2</v>
      </c>
      <c r="O13" s="9">
        <v>45426</v>
      </c>
      <c r="P13" s="9">
        <v>46584</v>
      </c>
      <c r="Q13" t="s">
        <v>142</v>
      </c>
      <c r="R13" t="s">
        <v>210</v>
      </c>
      <c r="S13">
        <f>(IF(tblVendorRegister[[#This Row],[Critical Vendor?]]="Yes",3,0))
+(IF(tblVendorRegister[[#This Row],[Processes Personal Data?]]="Yes",2,0))
+(IF(tblVendorRegister[[#This Row],[Special Personal Data?]]="Yes",3,0))
+(IF(tblVendorRegister[[#This Row],[Cross-Border Transfer?]]="Yes",2,0))
+(IF(tblVendorRegister[[#This Row],[Data Processor?]]="Yes",2,0))</f>
        <v>5</v>
      </c>
      <c r="T13" t="str" cm="1">
        <f t="array" ref="T13">_xlfn.IFS(
tblVendorRegister[[#This Row],[Initial Risk Profile Score]]&gt;=10,"Critical",
tblVendorRegister[[#This Row],[Initial Risk Profile Score]]&gt;=7,"High",
tblVendorRegister[[#This Row],[Initial Risk Profile Score]]&gt;=4,"Medium",
TRUE,"Low"
)</f>
        <v>Medium</v>
      </c>
      <c r="U13" t="str" cm="1">
        <f t="array" aca="1" ref="U13" ca="1">_xlfn.IFS(
tblVendorRegister[[#This Row],[Contract End]]&lt;TODAY(),"Expired",
tblVendorRegister[[#This Row],[Contract End]]&lt;=TODAY()+90,"Renewal Due",
TRUE,"Active"
)</f>
        <v>Active</v>
      </c>
    </row>
    <row r="14" spans="1:21" x14ac:dyDescent="0.25">
      <c r="A14" t="s">
        <v>101</v>
      </c>
      <c r="B14" t="s">
        <v>102</v>
      </c>
      <c r="C14" t="s">
        <v>103</v>
      </c>
      <c r="D14" t="s">
        <v>79</v>
      </c>
      <c r="E14" t="s">
        <v>24</v>
      </c>
      <c r="F14" t="s">
        <v>1</v>
      </c>
      <c r="G14" t="s">
        <v>1</v>
      </c>
      <c r="H14" t="s">
        <v>2</v>
      </c>
      <c r="I14" t="s">
        <v>2</v>
      </c>
      <c r="J14" t="s">
        <v>1</v>
      </c>
      <c r="K14" t="s">
        <v>1</v>
      </c>
      <c r="L14" t="str">
        <f>IF(AND(tblVendorRegister[[#This Row],[Cross-Border Transfer?]]="Yes",tblVendorRegister[[#This Row],[Processes Personal Data?]]="Yes"),"Yes","No")</f>
        <v>No</v>
      </c>
      <c r="M14" t="s">
        <v>2</v>
      </c>
      <c r="N14" t="s">
        <v>2</v>
      </c>
      <c r="O14" s="9">
        <v>45427</v>
      </c>
      <c r="P14" s="9">
        <v>46585</v>
      </c>
      <c r="Q14" t="s">
        <v>142</v>
      </c>
      <c r="R14" t="s">
        <v>210</v>
      </c>
      <c r="S14">
        <f>(IF(tblVendorRegister[[#This Row],[Critical Vendor?]]="Yes",3,0))
+(IF(tblVendorRegister[[#This Row],[Processes Personal Data?]]="Yes",2,0))
+(IF(tblVendorRegister[[#This Row],[Special Personal Data?]]="Yes",3,0))
+(IF(tblVendorRegister[[#This Row],[Cross-Border Transfer?]]="Yes",2,0))
+(IF(tblVendorRegister[[#This Row],[Data Processor?]]="Yes",2,0))</f>
        <v>7</v>
      </c>
      <c r="T14" t="str" cm="1">
        <f t="array" ref="T14">_xlfn.IFS(
tblVendorRegister[[#This Row],[Initial Risk Profile Score]]&gt;=10,"Critical",
tblVendorRegister[[#This Row],[Initial Risk Profile Score]]&gt;=7,"High",
tblVendorRegister[[#This Row],[Initial Risk Profile Score]]&gt;=4,"Medium",
TRUE,"Low"
)</f>
        <v>High</v>
      </c>
      <c r="U14" t="str" cm="1">
        <f t="array" aca="1" ref="U14" ca="1">_xlfn.IFS(
tblVendorRegister[[#This Row],[Contract End]]&lt;TODAY(),"Expired",
tblVendorRegister[[#This Row],[Contract End]]&lt;=TODAY()+90,"Renewal Due",
TRUE,"Active"
)</f>
        <v>Active</v>
      </c>
    </row>
    <row r="15" spans="1:21" x14ac:dyDescent="0.25">
      <c r="A15" t="s">
        <v>104</v>
      </c>
      <c r="B15" t="s">
        <v>105</v>
      </c>
      <c r="C15" t="s">
        <v>106</v>
      </c>
      <c r="D15" t="s">
        <v>79</v>
      </c>
      <c r="E15" t="s">
        <v>24</v>
      </c>
      <c r="F15" t="s">
        <v>2</v>
      </c>
      <c r="G15" t="s">
        <v>2</v>
      </c>
      <c r="H15" t="s">
        <v>2</v>
      </c>
      <c r="I15" t="s">
        <v>2</v>
      </c>
      <c r="J15" t="s">
        <v>2</v>
      </c>
      <c r="K15" t="s">
        <v>1</v>
      </c>
      <c r="L15" t="str">
        <f>IF(AND(tblVendorRegister[[#This Row],[Cross-Border Transfer?]]="Yes",tblVendorRegister[[#This Row],[Processes Personal Data?]]="Yes"),"Yes","No")</f>
        <v>No</v>
      </c>
      <c r="M15" t="s">
        <v>2</v>
      </c>
      <c r="N15" t="s">
        <v>2</v>
      </c>
      <c r="O15" s="9">
        <v>45428</v>
      </c>
      <c r="P15" s="9">
        <v>46586</v>
      </c>
      <c r="Q15" t="s">
        <v>142</v>
      </c>
      <c r="R15" t="s">
        <v>210</v>
      </c>
      <c r="S15">
        <f>(IF(tblVendorRegister[[#This Row],[Critical Vendor?]]="Yes",3,0))
+(IF(tblVendorRegister[[#This Row],[Processes Personal Data?]]="Yes",2,0))
+(IF(tblVendorRegister[[#This Row],[Special Personal Data?]]="Yes",3,0))
+(IF(tblVendorRegister[[#This Row],[Cross-Border Transfer?]]="Yes",2,0))
+(IF(tblVendorRegister[[#This Row],[Data Processor?]]="Yes",2,0))</f>
        <v>0</v>
      </c>
      <c r="T15" t="str" cm="1">
        <f t="array" ref="T15">_xlfn.IFS(
tblVendorRegister[[#This Row],[Initial Risk Profile Score]]&gt;=10,"Critical",
tblVendorRegister[[#This Row],[Initial Risk Profile Score]]&gt;=7,"High",
tblVendorRegister[[#This Row],[Initial Risk Profile Score]]&gt;=4,"Medium",
TRUE,"Low"
)</f>
        <v>Low</v>
      </c>
      <c r="U15" t="str" cm="1">
        <f t="array" aca="1" ref="U15" ca="1">_xlfn.IFS(
tblVendorRegister[[#This Row],[Contract End]]&lt;TODAY(),"Expired",
tblVendorRegister[[#This Row],[Contract End]]&lt;=TODAY()+90,"Renewal Due",
TRUE,"Active"
)</f>
        <v>Active</v>
      </c>
    </row>
    <row r="16" spans="1:21" x14ac:dyDescent="0.25">
      <c r="A16" t="s">
        <v>107</v>
      </c>
      <c r="B16" t="s">
        <v>108</v>
      </c>
      <c r="C16" t="s">
        <v>109</v>
      </c>
      <c r="D16" t="s">
        <v>75</v>
      </c>
      <c r="E16" t="s">
        <v>24</v>
      </c>
      <c r="F16" t="s">
        <v>1</v>
      </c>
      <c r="G16" t="s">
        <v>1</v>
      </c>
      <c r="H16" t="s">
        <v>2</v>
      </c>
      <c r="I16" t="s">
        <v>1</v>
      </c>
      <c r="J16" t="s">
        <v>1</v>
      </c>
      <c r="K16" t="s">
        <v>1</v>
      </c>
      <c r="L16" t="str">
        <f>IF(AND(tblVendorRegister[[#This Row],[Cross-Border Transfer?]]="Yes",tblVendorRegister[[#This Row],[Processes Personal Data?]]="Yes"),"Yes","No")</f>
        <v>Yes</v>
      </c>
      <c r="M16" t="s">
        <v>2</v>
      </c>
      <c r="N16" t="s">
        <v>2</v>
      </c>
      <c r="O16" s="9">
        <v>45429</v>
      </c>
      <c r="P16" s="9">
        <v>46587</v>
      </c>
      <c r="Q16" t="s">
        <v>142</v>
      </c>
      <c r="R16" t="s">
        <v>210</v>
      </c>
      <c r="S16">
        <f>(IF(tblVendorRegister[[#This Row],[Critical Vendor?]]="Yes",3,0))
+(IF(tblVendorRegister[[#This Row],[Processes Personal Data?]]="Yes",2,0))
+(IF(tblVendorRegister[[#This Row],[Special Personal Data?]]="Yes",3,0))
+(IF(tblVendorRegister[[#This Row],[Cross-Border Transfer?]]="Yes",2,0))
+(IF(tblVendorRegister[[#This Row],[Data Processor?]]="Yes",2,0))</f>
        <v>9</v>
      </c>
      <c r="T16" t="str" cm="1">
        <f t="array" ref="T16">_xlfn.IFS(
tblVendorRegister[[#This Row],[Initial Risk Profile Score]]&gt;=10,"Critical",
tblVendorRegister[[#This Row],[Initial Risk Profile Score]]&gt;=7,"High",
tblVendorRegister[[#This Row],[Initial Risk Profile Score]]&gt;=4,"Medium",
TRUE,"Low"
)</f>
        <v>High</v>
      </c>
      <c r="U16" t="str" cm="1">
        <f t="array" aca="1" ref="U16" ca="1">_xlfn.IFS(
tblVendorRegister[[#This Row],[Contract End]]&lt;TODAY(),"Expired",
tblVendorRegister[[#This Row],[Contract End]]&lt;=TODAY()+90,"Renewal Due",
TRUE,"Active"
)</f>
        <v>Active</v>
      </c>
    </row>
    <row r="17" spans="1:21" x14ac:dyDescent="0.25">
      <c r="A17" t="s">
        <v>110</v>
      </c>
      <c r="B17" t="s">
        <v>111</v>
      </c>
      <c r="C17" t="s">
        <v>112</v>
      </c>
      <c r="D17" t="s">
        <v>75</v>
      </c>
      <c r="E17" t="s">
        <v>24</v>
      </c>
      <c r="F17" t="s">
        <v>1</v>
      </c>
      <c r="G17" t="s">
        <v>1</v>
      </c>
      <c r="H17" t="s">
        <v>2</v>
      </c>
      <c r="I17" t="s">
        <v>1</v>
      </c>
      <c r="J17" t="s">
        <v>2</v>
      </c>
      <c r="K17" t="s">
        <v>2</v>
      </c>
      <c r="L17" t="str">
        <f>IF(AND(tblVendorRegister[[#This Row],[Cross-Border Transfer?]]="Yes",tblVendorRegister[[#This Row],[Processes Personal Data?]]="Yes"),"Yes","No")</f>
        <v>Yes</v>
      </c>
      <c r="M17" t="s">
        <v>2</v>
      </c>
      <c r="N17" t="s">
        <v>2</v>
      </c>
      <c r="O17" s="9">
        <v>45430</v>
      </c>
      <c r="P17" s="9">
        <v>46588</v>
      </c>
      <c r="Q17" t="s">
        <v>142</v>
      </c>
      <c r="R17" t="s">
        <v>210</v>
      </c>
      <c r="S17">
        <f>(IF(tblVendorRegister[[#This Row],[Critical Vendor?]]="Yes",3,0))
+(IF(tblVendorRegister[[#This Row],[Processes Personal Data?]]="Yes",2,0))
+(IF(tblVendorRegister[[#This Row],[Special Personal Data?]]="Yes",3,0))
+(IF(tblVendorRegister[[#This Row],[Cross-Border Transfer?]]="Yes",2,0))
+(IF(tblVendorRegister[[#This Row],[Data Processor?]]="Yes",2,0))</f>
        <v>7</v>
      </c>
      <c r="T17" t="str" cm="1">
        <f t="array" ref="T17">_xlfn.IFS(
tblVendorRegister[[#This Row],[Initial Risk Profile Score]]&gt;=10,"Critical",
tblVendorRegister[[#This Row],[Initial Risk Profile Score]]&gt;=7,"High",
tblVendorRegister[[#This Row],[Initial Risk Profile Score]]&gt;=4,"Medium",
TRUE,"Low"
)</f>
        <v>High</v>
      </c>
      <c r="U17" t="str" cm="1">
        <f t="array" aca="1" ref="U17" ca="1">_xlfn.IFS(
tblVendorRegister[[#This Row],[Contract End]]&lt;TODAY(),"Expired",
tblVendorRegister[[#This Row],[Contract End]]&lt;=TODAY()+90,"Renewal Due",
TRUE,"Active"
)</f>
        <v>Active</v>
      </c>
    </row>
    <row r="18" spans="1:21" x14ac:dyDescent="0.25">
      <c r="A18" t="s">
        <v>113</v>
      </c>
      <c r="B18" t="s">
        <v>114</v>
      </c>
      <c r="C18" t="s">
        <v>115</v>
      </c>
      <c r="D18" t="s">
        <v>79</v>
      </c>
      <c r="E18" t="s">
        <v>24</v>
      </c>
      <c r="F18" t="s">
        <v>2</v>
      </c>
      <c r="G18" t="s">
        <v>2</v>
      </c>
      <c r="H18" t="s">
        <v>2</v>
      </c>
      <c r="I18" t="s">
        <v>2</v>
      </c>
      <c r="J18" t="s">
        <v>2</v>
      </c>
      <c r="K18" t="s">
        <v>1</v>
      </c>
      <c r="L18" t="str">
        <f>IF(AND(tblVendorRegister[[#This Row],[Cross-Border Transfer?]]="Yes",tblVendorRegister[[#This Row],[Processes Personal Data?]]="Yes"),"Yes","No")</f>
        <v>No</v>
      </c>
      <c r="M18" t="s">
        <v>2</v>
      </c>
      <c r="N18" t="s">
        <v>2</v>
      </c>
      <c r="O18" s="9">
        <v>45431</v>
      </c>
      <c r="P18" s="9">
        <v>46589</v>
      </c>
      <c r="Q18" t="s">
        <v>142</v>
      </c>
      <c r="R18" t="s">
        <v>210</v>
      </c>
      <c r="S18">
        <f>(IF(tblVendorRegister[[#This Row],[Critical Vendor?]]="Yes",3,0))
+(IF(tblVendorRegister[[#This Row],[Processes Personal Data?]]="Yes",2,0))
+(IF(tblVendorRegister[[#This Row],[Special Personal Data?]]="Yes",3,0))
+(IF(tblVendorRegister[[#This Row],[Cross-Border Transfer?]]="Yes",2,0))
+(IF(tblVendorRegister[[#This Row],[Data Processor?]]="Yes",2,0))</f>
        <v>0</v>
      </c>
      <c r="T18" t="str" cm="1">
        <f t="array" ref="T18">_xlfn.IFS(
tblVendorRegister[[#This Row],[Initial Risk Profile Score]]&gt;=10,"Critical",
tblVendorRegister[[#This Row],[Initial Risk Profile Score]]&gt;=7,"High",
tblVendorRegister[[#This Row],[Initial Risk Profile Score]]&gt;=4,"Medium",
TRUE,"Low"
)</f>
        <v>Low</v>
      </c>
      <c r="U18" t="str" cm="1">
        <f t="array" aca="1" ref="U18" ca="1">_xlfn.IFS(
tblVendorRegister[[#This Row],[Contract End]]&lt;TODAY(),"Expired",
tblVendorRegister[[#This Row],[Contract End]]&lt;=TODAY()+90,"Renewal Due",
TRUE,"Active"
)</f>
        <v>Active</v>
      </c>
    </row>
    <row r="19" spans="1:21" x14ac:dyDescent="0.25">
      <c r="A19" t="s">
        <v>116</v>
      </c>
      <c r="B19" t="s">
        <v>117</v>
      </c>
      <c r="C19" t="s">
        <v>118</v>
      </c>
      <c r="D19" t="s">
        <v>75</v>
      </c>
      <c r="E19" t="s">
        <v>24</v>
      </c>
      <c r="F19" t="s">
        <v>1</v>
      </c>
      <c r="G19" t="s">
        <v>1</v>
      </c>
      <c r="H19" t="s">
        <v>2</v>
      </c>
      <c r="I19" t="s">
        <v>1</v>
      </c>
      <c r="J19" t="s">
        <v>1</v>
      </c>
      <c r="K19" t="s">
        <v>2</v>
      </c>
      <c r="L19" t="str">
        <f>IF(AND(tblVendorRegister[[#This Row],[Cross-Border Transfer?]]="Yes",tblVendorRegister[[#This Row],[Processes Personal Data?]]="Yes"),"Yes","No")</f>
        <v>Yes</v>
      </c>
      <c r="M19" t="s">
        <v>1</v>
      </c>
      <c r="N19" t="s">
        <v>2</v>
      </c>
      <c r="O19" s="9">
        <v>45432</v>
      </c>
      <c r="P19" s="9">
        <v>46590</v>
      </c>
      <c r="Q19" t="s">
        <v>142</v>
      </c>
      <c r="R19" t="s">
        <v>210</v>
      </c>
      <c r="S19">
        <f>(IF(tblVendorRegister[[#This Row],[Critical Vendor?]]="Yes",3,0))
+(IF(tblVendorRegister[[#This Row],[Processes Personal Data?]]="Yes",2,0))
+(IF(tblVendorRegister[[#This Row],[Special Personal Data?]]="Yes",3,0))
+(IF(tblVendorRegister[[#This Row],[Cross-Border Transfer?]]="Yes",2,0))
+(IF(tblVendorRegister[[#This Row],[Data Processor?]]="Yes",2,0))</f>
        <v>9</v>
      </c>
      <c r="T19" t="str" cm="1">
        <f t="array" ref="T19">_xlfn.IFS(
tblVendorRegister[[#This Row],[Initial Risk Profile Score]]&gt;=10,"Critical",
tblVendorRegister[[#This Row],[Initial Risk Profile Score]]&gt;=7,"High",
tblVendorRegister[[#This Row],[Initial Risk Profile Score]]&gt;=4,"Medium",
TRUE,"Low"
)</f>
        <v>High</v>
      </c>
      <c r="U19" t="str" cm="1">
        <f t="array" aca="1" ref="U19" ca="1">_xlfn.IFS(
tblVendorRegister[[#This Row],[Contract End]]&lt;TODAY(),"Expired",
tblVendorRegister[[#This Row],[Contract End]]&lt;=TODAY()+90,"Renewal Due",
TRUE,"Active"
)</f>
        <v>Active</v>
      </c>
    </row>
    <row r="20" spans="1:21" x14ac:dyDescent="0.25">
      <c r="A20" t="s">
        <v>119</v>
      </c>
      <c r="B20" t="s">
        <v>120</v>
      </c>
      <c r="C20" t="s">
        <v>121</v>
      </c>
      <c r="D20" t="s">
        <v>75</v>
      </c>
      <c r="E20" t="s">
        <v>24</v>
      </c>
      <c r="F20" t="s">
        <v>2</v>
      </c>
      <c r="G20" t="s">
        <v>1</v>
      </c>
      <c r="H20" t="s">
        <v>2</v>
      </c>
      <c r="I20" t="s">
        <v>1</v>
      </c>
      <c r="J20" t="s">
        <v>2</v>
      </c>
      <c r="K20" t="s">
        <v>1</v>
      </c>
      <c r="L20" t="str">
        <f>IF(AND(tblVendorRegister[[#This Row],[Cross-Border Transfer?]]="Yes",tblVendorRegister[[#This Row],[Processes Personal Data?]]="Yes"),"Yes","No")</f>
        <v>Yes</v>
      </c>
      <c r="M20" t="s">
        <v>2</v>
      </c>
      <c r="N20" t="s">
        <v>2</v>
      </c>
      <c r="O20" s="9">
        <v>45433</v>
      </c>
      <c r="P20" s="9">
        <v>46591</v>
      </c>
      <c r="Q20" t="s">
        <v>142</v>
      </c>
      <c r="R20" t="s">
        <v>210</v>
      </c>
      <c r="S20">
        <f>(IF(tblVendorRegister[[#This Row],[Critical Vendor?]]="Yes",3,0))
+(IF(tblVendorRegister[[#This Row],[Processes Personal Data?]]="Yes",2,0))
+(IF(tblVendorRegister[[#This Row],[Special Personal Data?]]="Yes",3,0))
+(IF(tblVendorRegister[[#This Row],[Cross-Border Transfer?]]="Yes",2,0))
+(IF(tblVendorRegister[[#This Row],[Data Processor?]]="Yes",2,0))</f>
        <v>4</v>
      </c>
      <c r="T20" t="str" cm="1">
        <f t="array" ref="T20">_xlfn.IFS(
tblVendorRegister[[#This Row],[Initial Risk Profile Score]]&gt;=10,"Critical",
tblVendorRegister[[#This Row],[Initial Risk Profile Score]]&gt;=7,"High",
tblVendorRegister[[#This Row],[Initial Risk Profile Score]]&gt;=4,"Medium",
TRUE,"Low"
)</f>
        <v>Medium</v>
      </c>
      <c r="U20" t="str" cm="1">
        <f t="array" aca="1" ref="U20" ca="1">_xlfn.IFS(
tblVendorRegister[[#This Row],[Contract End]]&lt;TODAY(),"Expired",
tblVendorRegister[[#This Row],[Contract End]]&lt;=TODAY()+90,"Renewal Due",
TRUE,"Active"
)</f>
        <v>Active</v>
      </c>
    </row>
    <row r="21" spans="1:21" x14ac:dyDescent="0.25">
      <c r="A21" t="s">
        <v>122</v>
      </c>
      <c r="B21" t="s">
        <v>123</v>
      </c>
      <c r="C21" t="s">
        <v>124</v>
      </c>
      <c r="D21" t="s">
        <v>75</v>
      </c>
      <c r="E21" t="s">
        <v>24</v>
      </c>
      <c r="F21" t="s">
        <v>1</v>
      </c>
      <c r="G21" t="s">
        <v>1</v>
      </c>
      <c r="H21" t="s">
        <v>2</v>
      </c>
      <c r="I21" t="s">
        <v>1</v>
      </c>
      <c r="J21" t="s">
        <v>1</v>
      </c>
      <c r="K21" t="s">
        <v>1</v>
      </c>
      <c r="L21" t="str">
        <f>IF(AND(tblVendorRegister[[#This Row],[Cross-Border Transfer?]]="Yes",tblVendorRegister[[#This Row],[Processes Personal Data?]]="Yes"),"Yes","No")</f>
        <v>Yes</v>
      </c>
      <c r="M21" t="s">
        <v>2</v>
      </c>
      <c r="N21" t="s">
        <v>1</v>
      </c>
      <c r="O21" s="9">
        <v>45434</v>
      </c>
      <c r="P21" s="9">
        <v>46592</v>
      </c>
      <c r="Q21" t="s">
        <v>142</v>
      </c>
      <c r="R21" t="s">
        <v>210</v>
      </c>
      <c r="S21">
        <f>(IF(tblVendorRegister[[#This Row],[Critical Vendor?]]="Yes",3,0))
+(IF(tblVendorRegister[[#This Row],[Processes Personal Data?]]="Yes",2,0))
+(IF(tblVendorRegister[[#This Row],[Special Personal Data?]]="Yes",3,0))
+(IF(tblVendorRegister[[#This Row],[Cross-Border Transfer?]]="Yes",2,0))
+(IF(tblVendorRegister[[#This Row],[Data Processor?]]="Yes",2,0))</f>
        <v>9</v>
      </c>
      <c r="T21" t="str" cm="1">
        <f t="array" ref="T21">_xlfn.IFS(
tblVendorRegister[[#This Row],[Initial Risk Profile Score]]&gt;=10,"Critical",
tblVendorRegister[[#This Row],[Initial Risk Profile Score]]&gt;=7,"High",
tblVendorRegister[[#This Row],[Initial Risk Profile Score]]&gt;=4,"Medium",
TRUE,"Low"
)</f>
        <v>High</v>
      </c>
      <c r="U21" t="str" cm="1">
        <f t="array" aca="1" ref="U21" ca="1">_xlfn.IFS(
tblVendorRegister[[#This Row],[Contract End]]&lt;TODAY(),"Expired",
tblVendorRegister[[#This Row],[Contract End]]&lt;=TODAY()+90,"Renewal Due",
TRUE,"Active"
)</f>
        <v>Active</v>
      </c>
    </row>
    <row r="22" spans="1:21" x14ac:dyDescent="0.25">
      <c r="A22" t="s">
        <v>125</v>
      </c>
      <c r="B22" t="s">
        <v>126</v>
      </c>
      <c r="C22" t="s">
        <v>127</v>
      </c>
      <c r="D22" t="s">
        <v>75</v>
      </c>
      <c r="E22" t="s">
        <v>24</v>
      </c>
      <c r="F22" t="s">
        <v>1</v>
      </c>
      <c r="G22" t="s">
        <v>1</v>
      </c>
      <c r="H22" t="s">
        <v>1</v>
      </c>
      <c r="I22" t="s">
        <v>1</v>
      </c>
      <c r="J22" t="s">
        <v>1</v>
      </c>
      <c r="K22" t="s">
        <v>2</v>
      </c>
      <c r="L22" t="str">
        <f>IF(AND(tblVendorRegister[[#This Row],[Cross-Border Transfer?]]="Yes",tblVendorRegister[[#This Row],[Processes Personal Data?]]="Yes"),"Yes","No")</f>
        <v>Yes</v>
      </c>
      <c r="M22" t="s">
        <v>2</v>
      </c>
      <c r="N22" t="s">
        <v>2</v>
      </c>
      <c r="O22" s="9">
        <v>45435</v>
      </c>
      <c r="P22" s="9">
        <v>46593</v>
      </c>
      <c r="Q22" t="s">
        <v>142</v>
      </c>
      <c r="R22" t="s">
        <v>210</v>
      </c>
      <c r="S22">
        <f>(IF(tblVendorRegister[[#This Row],[Critical Vendor?]]="Yes",3,0))
+(IF(tblVendorRegister[[#This Row],[Processes Personal Data?]]="Yes",2,0))
+(IF(tblVendorRegister[[#This Row],[Special Personal Data?]]="Yes",3,0))
+(IF(tblVendorRegister[[#This Row],[Cross-Border Transfer?]]="Yes",2,0))
+(IF(tblVendorRegister[[#This Row],[Data Processor?]]="Yes",2,0))</f>
        <v>12</v>
      </c>
      <c r="T22" t="str" cm="1">
        <f t="array" ref="T22">_xlfn.IFS(
tblVendorRegister[[#This Row],[Initial Risk Profile Score]]&gt;=10,"Critical",
tblVendorRegister[[#This Row],[Initial Risk Profile Score]]&gt;=7,"High",
tblVendorRegister[[#This Row],[Initial Risk Profile Score]]&gt;=4,"Medium",
TRUE,"Low"
)</f>
        <v>Critical</v>
      </c>
      <c r="U22" t="str" cm="1">
        <f t="array" aca="1" ref="U22" ca="1">_xlfn.IFS(
tblVendorRegister[[#This Row],[Contract End]]&lt;TODAY(),"Expired",
tblVendorRegister[[#This Row],[Contract End]]&lt;=TODAY()+90,"Renewal Due",
TRUE,"Active"
)</f>
        <v>Active</v>
      </c>
    </row>
    <row r="23" spans="1:21" x14ac:dyDescent="0.25">
      <c r="A23" t="s">
        <v>128</v>
      </c>
      <c r="B23" t="s">
        <v>129</v>
      </c>
      <c r="C23" t="s">
        <v>130</v>
      </c>
      <c r="D23" t="s">
        <v>131</v>
      </c>
      <c r="E23" t="s">
        <v>24</v>
      </c>
      <c r="F23" t="s">
        <v>1</v>
      </c>
      <c r="G23" t="s">
        <v>1</v>
      </c>
      <c r="H23" t="s">
        <v>2</v>
      </c>
      <c r="I23" t="s">
        <v>1</v>
      </c>
      <c r="J23" t="s">
        <v>1</v>
      </c>
      <c r="K23" t="s">
        <v>1</v>
      </c>
      <c r="L23" t="str">
        <f>IF(AND(tblVendorRegister[[#This Row],[Cross-Border Transfer?]]="Yes",tblVendorRegister[[#This Row],[Processes Personal Data?]]="Yes"),"Yes","No")</f>
        <v>Yes</v>
      </c>
      <c r="M23" t="s">
        <v>2</v>
      </c>
      <c r="N23" t="s">
        <v>2</v>
      </c>
      <c r="O23" s="9">
        <v>45436</v>
      </c>
      <c r="P23" s="9">
        <v>46594</v>
      </c>
      <c r="Q23" t="s">
        <v>142</v>
      </c>
      <c r="R23" t="s">
        <v>210</v>
      </c>
      <c r="S23">
        <f>(IF(tblVendorRegister[[#This Row],[Critical Vendor?]]="Yes",3,0))
+(IF(tblVendorRegister[[#This Row],[Processes Personal Data?]]="Yes",2,0))
+(IF(tblVendorRegister[[#This Row],[Special Personal Data?]]="Yes",3,0))
+(IF(tblVendorRegister[[#This Row],[Cross-Border Transfer?]]="Yes",2,0))
+(IF(tblVendorRegister[[#This Row],[Data Processor?]]="Yes",2,0))</f>
        <v>9</v>
      </c>
      <c r="T23" t="str" cm="1">
        <f t="array" ref="T23">_xlfn.IFS(
tblVendorRegister[[#This Row],[Initial Risk Profile Score]]&gt;=10,"Critical",
tblVendorRegister[[#This Row],[Initial Risk Profile Score]]&gt;=7,"High",
tblVendorRegister[[#This Row],[Initial Risk Profile Score]]&gt;=4,"Medium",
TRUE,"Low"
)</f>
        <v>High</v>
      </c>
      <c r="U23" t="str" cm="1">
        <f t="array" aca="1" ref="U23" ca="1">_xlfn.IFS(
tblVendorRegister[[#This Row],[Contract End]]&lt;TODAY(),"Expired",
tblVendorRegister[[#This Row],[Contract End]]&lt;=TODAY()+90,"Renewal Due",
TRUE,"Active"
)</f>
        <v>Active</v>
      </c>
    </row>
    <row r="24" spans="1:21" x14ac:dyDescent="0.25">
      <c r="A24" t="s">
        <v>132</v>
      </c>
      <c r="B24" t="s">
        <v>133</v>
      </c>
      <c r="C24" t="s">
        <v>134</v>
      </c>
      <c r="D24" t="s">
        <v>135</v>
      </c>
      <c r="E24" t="s">
        <v>24</v>
      </c>
      <c r="F24" t="s">
        <v>1</v>
      </c>
      <c r="G24" t="s">
        <v>1</v>
      </c>
      <c r="H24" t="s">
        <v>2</v>
      </c>
      <c r="I24" t="s">
        <v>1</v>
      </c>
      <c r="J24" t="s">
        <v>1</v>
      </c>
      <c r="K24" t="s">
        <v>1</v>
      </c>
      <c r="L24" t="str">
        <f>IF(AND(tblVendorRegister[[#This Row],[Cross-Border Transfer?]]="Yes",tblVendorRegister[[#This Row],[Processes Personal Data?]]="Yes"),"Yes","No")</f>
        <v>Yes</v>
      </c>
      <c r="M24" t="s">
        <v>2</v>
      </c>
      <c r="N24" t="s">
        <v>2</v>
      </c>
      <c r="O24" s="9">
        <v>45437</v>
      </c>
      <c r="P24" s="9">
        <v>46595</v>
      </c>
      <c r="Q24" t="s">
        <v>142</v>
      </c>
      <c r="R24" t="s">
        <v>210</v>
      </c>
      <c r="S24">
        <f>(IF(tblVendorRegister[[#This Row],[Critical Vendor?]]="Yes",3,0))
+(IF(tblVendorRegister[[#This Row],[Processes Personal Data?]]="Yes",2,0))
+(IF(tblVendorRegister[[#This Row],[Special Personal Data?]]="Yes",3,0))
+(IF(tblVendorRegister[[#This Row],[Cross-Border Transfer?]]="Yes",2,0))
+(IF(tblVendorRegister[[#This Row],[Data Processor?]]="Yes",2,0))</f>
        <v>9</v>
      </c>
      <c r="T24" t="str" cm="1">
        <f t="array" ref="T24">_xlfn.IFS(
tblVendorRegister[[#This Row],[Initial Risk Profile Score]]&gt;=10,"Critical",
tblVendorRegister[[#This Row],[Initial Risk Profile Score]]&gt;=7,"High",
tblVendorRegister[[#This Row],[Initial Risk Profile Score]]&gt;=4,"Medium",
TRUE,"Low"
)</f>
        <v>High</v>
      </c>
      <c r="U24" t="str" cm="1">
        <f t="array" aca="1" ref="U24" ca="1">_xlfn.IFS(
tblVendorRegister[[#This Row],[Contract End]]&lt;TODAY(),"Expired",
tblVendorRegister[[#This Row],[Contract End]]&lt;=TODAY()+90,"Renewal Due",
TRUE,"Active"
)</f>
        <v>Active</v>
      </c>
    </row>
    <row r="25" spans="1:21" x14ac:dyDescent="0.25">
      <c r="A25" t="s">
        <v>136</v>
      </c>
      <c r="B25" t="s">
        <v>137</v>
      </c>
      <c r="C25" t="s">
        <v>138</v>
      </c>
      <c r="D25" t="s">
        <v>67</v>
      </c>
      <c r="E25" t="s">
        <v>24</v>
      </c>
      <c r="F25" t="s">
        <v>1</v>
      </c>
      <c r="G25" t="s">
        <v>1</v>
      </c>
      <c r="H25" t="s">
        <v>1</v>
      </c>
      <c r="I25" t="s">
        <v>1</v>
      </c>
      <c r="J25" t="s">
        <v>1</v>
      </c>
      <c r="K25" t="s">
        <v>1</v>
      </c>
      <c r="L25" t="str">
        <f>IF(AND(tblVendorRegister[[#This Row],[Cross-Border Transfer?]]="Yes",tblVendorRegister[[#This Row],[Processes Personal Data?]]="Yes"),"Yes","No")</f>
        <v>Yes</v>
      </c>
      <c r="M25" t="s">
        <v>2</v>
      </c>
      <c r="N25" t="s">
        <v>2</v>
      </c>
      <c r="O25" s="9">
        <v>45438</v>
      </c>
      <c r="P25" s="9">
        <v>46596</v>
      </c>
      <c r="Q25" t="s">
        <v>142</v>
      </c>
      <c r="R25" t="s">
        <v>210</v>
      </c>
      <c r="S25">
        <f>(IF(tblVendorRegister[[#This Row],[Critical Vendor?]]="Yes",3,0))
+(IF(tblVendorRegister[[#This Row],[Processes Personal Data?]]="Yes",2,0))
+(IF(tblVendorRegister[[#This Row],[Special Personal Data?]]="Yes",3,0))
+(IF(tblVendorRegister[[#This Row],[Cross-Border Transfer?]]="Yes",2,0))
+(IF(tblVendorRegister[[#This Row],[Data Processor?]]="Yes",2,0))</f>
        <v>12</v>
      </c>
      <c r="T25" t="str" cm="1">
        <f t="array" ref="T25">_xlfn.IFS(
tblVendorRegister[[#This Row],[Initial Risk Profile Score]]&gt;=10,"Critical",
tblVendorRegister[[#This Row],[Initial Risk Profile Score]]&gt;=7,"High",
tblVendorRegister[[#This Row],[Initial Risk Profile Score]]&gt;=4,"Medium",
TRUE,"Low"
)</f>
        <v>Critical</v>
      </c>
      <c r="U25" t="str" cm="1">
        <f t="array" aca="1" ref="U25" ca="1">_xlfn.IFS(
tblVendorRegister[[#This Row],[Contract End]]&lt;TODAY(),"Expired",
tblVendorRegister[[#This Row],[Contract End]]&lt;=TODAY()+90,"Renewal Due",
TRUE,"Active"
)</f>
        <v>Active</v>
      </c>
    </row>
    <row r="26" spans="1:21" x14ac:dyDescent="0.25">
      <c r="A26" t="s">
        <v>139</v>
      </c>
      <c r="B26" t="s">
        <v>140</v>
      </c>
      <c r="C26" t="s">
        <v>141</v>
      </c>
      <c r="D26" t="s">
        <v>79</v>
      </c>
      <c r="E26" t="s">
        <v>24</v>
      </c>
      <c r="F26" t="s">
        <v>2</v>
      </c>
      <c r="G26" t="s">
        <v>1</v>
      </c>
      <c r="H26" t="s">
        <v>2</v>
      </c>
      <c r="I26" t="s">
        <v>2</v>
      </c>
      <c r="J26" t="s">
        <v>1</v>
      </c>
      <c r="K26" t="s">
        <v>1</v>
      </c>
      <c r="L26" t="str">
        <f>IF(AND(tblVendorRegister[[#This Row],[Cross-Border Transfer?]]="Yes",tblVendorRegister[[#This Row],[Processes Personal Data?]]="Yes"),"Yes","No")</f>
        <v>No</v>
      </c>
      <c r="M26" t="s">
        <v>1</v>
      </c>
      <c r="N26" t="s">
        <v>2</v>
      </c>
      <c r="O26" s="9">
        <v>45439</v>
      </c>
      <c r="P26" s="9">
        <v>46597</v>
      </c>
      <c r="Q26" t="s">
        <v>142</v>
      </c>
      <c r="R26" t="s">
        <v>210</v>
      </c>
      <c r="S26">
        <f>(IF(tblVendorRegister[[#This Row],[Critical Vendor?]]="Yes",3,0))
+(IF(tblVendorRegister[[#This Row],[Processes Personal Data?]]="Yes",2,0))
+(IF(tblVendorRegister[[#This Row],[Special Personal Data?]]="Yes",3,0))
+(IF(tblVendorRegister[[#This Row],[Cross-Border Transfer?]]="Yes",2,0))
+(IF(tblVendorRegister[[#This Row],[Data Processor?]]="Yes",2,0))</f>
        <v>4</v>
      </c>
      <c r="T26" t="str" cm="1">
        <f t="array" ref="T26">_xlfn.IFS(
tblVendorRegister[[#This Row],[Initial Risk Profile Score]]&gt;=10,"Critical",
tblVendorRegister[[#This Row],[Initial Risk Profile Score]]&gt;=7,"High",
tblVendorRegister[[#This Row],[Initial Risk Profile Score]]&gt;=4,"Medium",
TRUE,"Low"
)</f>
        <v>Medium</v>
      </c>
      <c r="U26" t="str" cm="1">
        <f t="array" aca="1" ref="U26" ca="1">_xlfn.IFS(
tblVendorRegister[[#This Row],[Contract End]]&lt;TODAY(),"Expired",
tblVendorRegister[[#This Row],[Contract End]]&lt;=TODAY()+90,"Renewal Due",
TRUE,"Active"
)</f>
        <v>Active</v>
      </c>
    </row>
  </sheetData>
  <phoneticPr fontId="5" type="noConversion"/>
  <conditionalFormatting sqref="U1:U1048576">
    <cfRule type="containsText" dxfId="13" priority="5" operator="containsText" text="acti">
      <formula>NOT(ISERROR(SEARCH("acti",U1)))</formula>
    </cfRule>
  </conditionalFormatting>
  <conditionalFormatting sqref="T1:T1048576">
    <cfRule type="containsText" dxfId="12" priority="1" operator="containsText" text="low">
      <formula>NOT(ISERROR(SEARCH("low",T1)))</formula>
    </cfRule>
    <cfRule type="containsText" dxfId="11" priority="2" operator="containsText" text="criti">
      <formula>NOT(ISERROR(SEARCH("criti",T1)))</formula>
    </cfRule>
    <cfRule type="containsText" dxfId="10" priority="3" operator="containsText" text="medi">
      <formula>NOT(ISERROR(SEARCH("medi",T1)))</formula>
    </cfRule>
    <cfRule type="containsText" dxfId="9" priority="4" operator="containsText" text="hi">
      <formula>NOT(ISERROR(SEARCH("hi",T1)))</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F25E4E6E-9D73-408A-8CB5-EACB0332F353}">
          <x14:formula1>
            <xm:f>'Look up Table'!$A$2:$A$5</xm:f>
          </x14:formula1>
          <xm:sqref>V27:V1048576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3E3DD-64F0-45DA-8D84-BF44C708EE0A}">
  <dimension ref="A1:R26"/>
  <sheetViews>
    <sheetView topLeftCell="L1" workbookViewId="0">
      <selection activeCell="O3" sqref="O3"/>
    </sheetView>
  </sheetViews>
  <sheetFormatPr defaultRowHeight="15" x14ac:dyDescent="0.25"/>
  <cols>
    <col min="1" max="1" width="16.28515625" bestFit="1" customWidth="1"/>
    <col min="2" max="2" width="12.140625" bestFit="1" customWidth="1"/>
    <col min="3" max="3" width="15.7109375" bestFit="1" customWidth="1"/>
    <col min="4" max="4" width="18.140625" bestFit="1" customWidth="1"/>
    <col min="5" max="5" width="18.5703125" bestFit="1" customWidth="1"/>
    <col min="6" max="6" width="11" bestFit="1" customWidth="1"/>
    <col min="7" max="7" width="21.7109375" bestFit="1" customWidth="1"/>
    <col min="8" max="8" width="20.7109375" bestFit="1" customWidth="1"/>
    <col min="9" max="9" width="31.28515625" bestFit="1" customWidth="1"/>
    <col min="10" max="10" width="21" bestFit="1" customWidth="1"/>
    <col min="11" max="11" width="19" bestFit="1" customWidth="1"/>
    <col min="12" max="12" width="27.140625" bestFit="1" customWidth="1"/>
    <col min="13" max="13" width="27.140625" customWidth="1"/>
    <col min="14" max="14" width="28.28515625" bestFit="1" customWidth="1"/>
    <col min="15" max="15" width="21.85546875" customWidth="1"/>
    <col min="16" max="17" width="29.5703125" bestFit="1" customWidth="1"/>
    <col min="18" max="18" width="19.140625" bestFit="1" customWidth="1"/>
  </cols>
  <sheetData>
    <row r="1" spans="1:18" x14ac:dyDescent="0.25">
      <c r="A1" t="s">
        <v>159</v>
      </c>
      <c r="B1" t="s">
        <v>44</v>
      </c>
      <c r="C1" t="s">
        <v>45</v>
      </c>
      <c r="D1" t="s">
        <v>46</v>
      </c>
      <c r="E1" t="s">
        <v>158</v>
      </c>
      <c r="F1" t="s">
        <v>157</v>
      </c>
      <c r="G1" t="s">
        <v>24</v>
      </c>
      <c r="H1" t="s">
        <v>156</v>
      </c>
      <c r="I1" t="s">
        <v>155</v>
      </c>
      <c r="J1" t="s">
        <v>154</v>
      </c>
      <c r="K1" t="s">
        <v>153</v>
      </c>
      <c r="L1" t="s">
        <v>152</v>
      </c>
      <c r="M1" t="s">
        <v>191</v>
      </c>
      <c r="N1" t="s">
        <v>198</v>
      </c>
      <c r="O1" t="s">
        <v>197</v>
      </c>
      <c r="P1" t="s">
        <v>151</v>
      </c>
      <c r="Q1" t="s">
        <v>150</v>
      </c>
      <c r="R1" t="s">
        <v>149</v>
      </c>
    </row>
    <row r="2" spans="1:18" x14ac:dyDescent="0.25">
      <c r="A2" t="s">
        <v>166</v>
      </c>
      <c r="B2" t="str">
        <f>"V"&amp;TEXT(ROW()-1,"000")</f>
        <v>V001</v>
      </c>
      <c r="C2" t="str">
        <f>_xlfn.XLOOKUP(
tblVendorAssessment[[#This Row],[Vendor ID]],
tblVendorRegister[Vendor ID],
tblVendorRegister[Vendor Name]
)</f>
        <v>Microsoft Azure</v>
      </c>
      <c r="D2" t="str">
        <f>_xlfn.XLOOKUP(
tblVendorAssessment[[#This Row],[Vendor ID]],
tblVendorRegister[Vendor ID],
tblVendorRegister[Service Category]
)</f>
        <v>Cloud Hosting</v>
      </c>
      <c r="G2" t="s">
        <v>160</v>
      </c>
      <c r="H2" t="s">
        <v>1</v>
      </c>
      <c r="I2" t="s">
        <v>1</v>
      </c>
      <c r="J2" t="s">
        <v>1</v>
      </c>
      <c r="K2" t="s">
        <v>160</v>
      </c>
      <c r="L2" t="s">
        <v>1</v>
      </c>
      <c r="M2" t="s">
        <v>195</v>
      </c>
      <c r="N2">
        <f>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f>
        <v>10</v>
      </c>
      <c r="O2" t="str" cm="1">
        <f t="array" ref="O2">_xlfn.LET(
_xlpm.DD,
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
_xlpm.Sensitivity,
_xlfn.XLOOKUP(tblVendorAssessment[[#This Row],[Information Sensitivity]],tblSensitivity[Level],tblSensitivity[Score]),
_xlpm.Total,
_xlpm.DD+_xlpm.Sensitivity,
_xlfn.IFS(
_xlpm.Total&gt;=15,"Low",
_xlpm.Total&gt;=11,"Medium",
_xlpm.Total&gt;=7,"High",
TRUE,"Critical"
))</f>
        <v>Medium</v>
      </c>
      <c r="P2" t="str" cm="1">
        <f t="array" ref="P2">_xlfn.IFS(
AND(tblVendorAssessment[[#This Row],[Overall Due Diligence Score]]&gt;=10,tblVendorAssessment[[#This Row],[Overall Risk Rating]]="Low"),"Strong",
AND(tblVendorAssessment[[#This Row],[Overall Due Diligence Score]]&gt;=10,OR(tblVendorAssessment[[#This Row],[Overall Risk Rating]]="Medium",tblVendorAssessment[[#This Row],[Overall Risk Rating]]="High",tblVendorAssessment[[#This Row],[Overall Risk Rating]]="Critical")),"Adequate",
AND(tblVendorAssessment[[#This Row],[Overall Due Diligence Score]]&gt;=7,tblVendorAssessment[[#This Row],[Overall Risk Rating]]="Low"),"Adequate",
AND(tblVendorAssessment[[#This Row],[Overall Due Diligence Score]]&gt;=7,tblVendorAssessment[[#This Row],[Overall Risk Rating]]="Medium"),"Moderate",
AND(tblVendorAssessment[[#This Row],[Overall Due Diligence Score]]&gt;=7,OR(tblVendorAssessment[[#This Row],[Overall Risk Rating]]="High",tblVendorAssessment[[#This Row],[Overall Risk Rating]]="Critical")),"Weak",
AND(tblVendorAssessment[[#This Row],[Overall Due Diligence Score]]&lt;7,tblVendorAssessment[[#This Row],[Overall Risk Rating]]="Low"),"Moderate",
TRUE,"Weak"
)</f>
        <v>Adequate</v>
      </c>
      <c r="Q2" t="str" cm="1">
        <f t="array" ref="Q2">_xlfn.IFS(
tblVendorAssessment[[#This Row],[Overall Control Effectiveness]]="Strong","Approve",
tblVendorAssessment[[#This Row],[Overall Control Effectiveness]]="Adequate","Approve with Monitoring",
tblVendorAssessment[[#This Row],[Overall Control Effectiveness]]="Moderate","Conditional Approval",
tblVendorAssessment[[#This Row],[Overall Control Effectiveness]]="Weak","Rejected"
)</f>
        <v>Approve with Monitoring</v>
      </c>
    </row>
    <row r="3" spans="1:18" x14ac:dyDescent="0.25">
      <c r="A3" t="s">
        <v>167</v>
      </c>
      <c r="B3" t="str">
        <f>"V"&amp;TEXT(ROW()-1,"000")</f>
        <v>V002</v>
      </c>
      <c r="C3" t="str">
        <f>_xlfn.XLOOKUP(
tblVendorAssessment[[#This Row],[Vendor ID]],
tblVendorRegister[Vendor ID],
tblVendorRegister[Vendor Name]
)</f>
        <v>Microsoft 365</v>
      </c>
      <c r="D3" t="str">
        <f>_xlfn.XLOOKUP(
tblVendorAssessment[[#This Row],[Vendor ID]],
tblVendorRegister[Vendor ID],
tblVendorRegister[Service Category]
)</f>
        <v>Productivity Suite</v>
      </c>
      <c r="G3" t="s">
        <v>1</v>
      </c>
      <c r="H3" t="s">
        <v>1</v>
      </c>
      <c r="I3" t="s">
        <v>1</v>
      </c>
      <c r="J3" t="s">
        <v>1</v>
      </c>
      <c r="K3" t="s">
        <v>1</v>
      </c>
      <c r="L3" t="s">
        <v>2</v>
      </c>
      <c r="M3" t="s">
        <v>195</v>
      </c>
      <c r="N3">
        <f>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f>
        <v>10</v>
      </c>
      <c r="O3" t="str" cm="1">
        <f t="array" ref="O3">_xlfn.LET(
_xlpm.DD,
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
_xlpm.Sensitivity,
_xlfn.XLOOKUP(tblVendorAssessment[[#This Row],[Information Sensitivity]],tblSensitivity[Level],tblSensitivity[Score]),
_xlpm.Total,
_xlpm.DD+_xlpm.Sensitivity,
_xlfn.IFS(
_xlpm.Total&gt;=15,"Low",
_xlpm.Total&gt;=11,"Medium",
_xlpm.Total&gt;=7,"High",
TRUE,"Critical"
))</f>
        <v>Medium</v>
      </c>
      <c r="P3" t="str" cm="1">
        <f t="array" ref="P3">_xlfn.IFS(
AND(tblVendorAssessment[[#This Row],[Overall Due Diligence Score]]&gt;=10,tblVendorAssessment[[#This Row],[Overall Risk Rating]]="Low"),"Strong",
AND(tblVendorAssessment[[#This Row],[Overall Due Diligence Score]]&gt;=10,OR(tblVendorAssessment[[#This Row],[Overall Risk Rating]]="Medium",tblVendorAssessment[[#This Row],[Overall Risk Rating]]="High",tblVendorAssessment[[#This Row],[Overall Risk Rating]]="Critical")),"Adequate",
AND(tblVendorAssessment[[#This Row],[Overall Due Diligence Score]]&gt;=7,tblVendorAssessment[[#This Row],[Overall Risk Rating]]="Low"),"Adequate",
AND(tblVendorAssessment[[#This Row],[Overall Due Diligence Score]]&gt;=7,tblVendorAssessment[[#This Row],[Overall Risk Rating]]="Medium"),"Moderate",
AND(tblVendorAssessment[[#This Row],[Overall Due Diligence Score]]&gt;=7,OR(tblVendorAssessment[[#This Row],[Overall Risk Rating]]="High",tblVendorAssessment[[#This Row],[Overall Risk Rating]]="Critical")),"Weak",
AND(tblVendorAssessment[[#This Row],[Overall Due Diligence Score]]&lt;7,tblVendorAssessment[[#This Row],[Overall Risk Rating]]="Low"),"Moderate",
TRUE,"Weak"
)</f>
        <v>Adequate</v>
      </c>
      <c r="Q3" t="str" cm="1">
        <f t="array" ref="Q3">_xlfn.IFS(
tblVendorAssessment[[#This Row],[Overall Control Effectiveness]]="Strong","Approve",
tblVendorAssessment[[#This Row],[Overall Control Effectiveness]]="Adequate","Approve with Monitoring",
tblVendorAssessment[[#This Row],[Overall Control Effectiveness]]="Moderate","Conditional Approval",
tblVendorAssessment[[#This Row],[Overall Control Effectiveness]]="Weak","Rejected"
)</f>
        <v>Approve with Monitoring</v>
      </c>
    </row>
    <row r="4" spans="1:18" x14ac:dyDescent="0.25">
      <c r="A4" t="s">
        <v>168</v>
      </c>
      <c r="B4" t="str">
        <f t="shared" ref="B4:B26" si="0">"V"&amp;TEXT(ROW()-1,"000")</f>
        <v>V003</v>
      </c>
      <c r="C4" t="str">
        <f>_xlfn.XLOOKUP(
tblVendorAssessment[[#This Row],[Vendor ID]],
tblVendorRegister[Vendor ID],
tblVendorRegister[Vendor Name]
)</f>
        <v>Twilio</v>
      </c>
      <c r="D4" t="str">
        <f>_xlfn.XLOOKUP(
tblVendorAssessment[[#This Row],[Vendor ID]],
tblVendorRegister[Vendor ID],
tblVendorRegister[Service Category]
)</f>
        <v>SMS Gateway</v>
      </c>
      <c r="G4" t="s">
        <v>1</v>
      </c>
      <c r="H4" t="s">
        <v>1</v>
      </c>
      <c r="I4" t="s">
        <v>1</v>
      </c>
      <c r="J4" t="s">
        <v>1</v>
      </c>
      <c r="K4" t="s">
        <v>1</v>
      </c>
      <c r="L4" t="s">
        <v>160</v>
      </c>
      <c r="M4" t="s">
        <v>194</v>
      </c>
      <c r="N4">
        <f>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f>
        <v>11</v>
      </c>
      <c r="O4" t="str" cm="1">
        <f t="array" ref="O4">_xlfn.LET(
_xlpm.DD,
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
_xlpm.Sensitivity,
_xlfn.XLOOKUP(tblVendorAssessment[[#This Row],[Information Sensitivity]],tblSensitivity[Level],tblSensitivity[Score]),
_xlpm.Total,
_xlpm.DD+_xlpm.Sensitivity,
_xlfn.IFS(
_xlpm.Total&gt;=15,"Low",
_xlpm.Total&gt;=11,"Medium",
_xlpm.Total&gt;=7,"High",
TRUE,"Critical"
))</f>
        <v>Medium</v>
      </c>
      <c r="P4" t="str" cm="1">
        <f t="array" ref="P4">_xlfn.IFS(
AND(tblVendorAssessment[[#This Row],[Overall Due Diligence Score]]&gt;=10,tblVendorAssessment[[#This Row],[Overall Risk Rating]]="Low"),"Strong",
AND(tblVendorAssessment[[#This Row],[Overall Due Diligence Score]]&gt;=10,OR(tblVendorAssessment[[#This Row],[Overall Risk Rating]]="Medium",tblVendorAssessment[[#This Row],[Overall Risk Rating]]="High",tblVendorAssessment[[#This Row],[Overall Risk Rating]]="Critical")),"Adequate",
AND(tblVendorAssessment[[#This Row],[Overall Due Diligence Score]]&gt;=7,tblVendorAssessment[[#This Row],[Overall Risk Rating]]="Low"),"Adequate",
AND(tblVendorAssessment[[#This Row],[Overall Due Diligence Score]]&gt;=7,tblVendorAssessment[[#This Row],[Overall Risk Rating]]="Medium"),"Moderate",
AND(tblVendorAssessment[[#This Row],[Overall Due Diligence Score]]&gt;=7,OR(tblVendorAssessment[[#This Row],[Overall Risk Rating]]="High",tblVendorAssessment[[#This Row],[Overall Risk Rating]]="Critical")),"Weak",
AND(tblVendorAssessment[[#This Row],[Overall Due Diligence Score]]&lt;7,tblVendorAssessment[[#This Row],[Overall Risk Rating]]="Low"),"Moderate",
TRUE,"Weak"
)</f>
        <v>Adequate</v>
      </c>
      <c r="Q4" t="str" cm="1">
        <f t="array" ref="Q4">_xlfn.IFS(
tblVendorAssessment[[#This Row],[Overall Control Effectiveness]]="Strong","Approve",
tblVendorAssessment[[#This Row],[Overall Control Effectiveness]]="Adequate","Approve with Monitoring",
tblVendorAssessment[[#This Row],[Overall Control Effectiveness]]="Moderate","Conditional Approval",
tblVendorAssessment[[#This Row],[Overall Control Effectiveness]]="Weak","Rejected"
)</f>
        <v>Approve with Monitoring</v>
      </c>
    </row>
    <row r="5" spans="1:18" x14ac:dyDescent="0.25">
      <c r="A5" t="s">
        <v>169</v>
      </c>
      <c r="B5" t="str">
        <f t="shared" si="0"/>
        <v>V004</v>
      </c>
      <c r="C5" t="str">
        <f>_xlfn.XLOOKUP(
tblVendorAssessment[[#This Row],[Vendor ID]],
tblVendorRegister[Vendor ID],
tblVendorRegister[Vendor Name]
)</f>
        <v>Paystack</v>
      </c>
      <c r="D5" t="str">
        <f>_xlfn.XLOOKUP(
tblVendorAssessment[[#This Row],[Vendor ID]],
tblVendorRegister[Vendor ID],
tblVendorRegister[Service Category]
)</f>
        <v>Payment Processor</v>
      </c>
      <c r="G5" t="s">
        <v>1</v>
      </c>
      <c r="H5" t="s">
        <v>1</v>
      </c>
      <c r="I5" t="s">
        <v>1</v>
      </c>
      <c r="J5" t="s">
        <v>1</v>
      </c>
      <c r="K5" t="s">
        <v>1</v>
      </c>
      <c r="L5" t="s">
        <v>1</v>
      </c>
      <c r="M5" t="s">
        <v>195</v>
      </c>
      <c r="N5">
        <f>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f>
        <v>12</v>
      </c>
      <c r="O5" t="str" cm="1">
        <f t="array" ref="O5">_xlfn.LET(
_xlpm.DD,
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
_xlpm.Sensitivity,
_xlfn.XLOOKUP(tblVendorAssessment[[#This Row],[Information Sensitivity]],tblSensitivity[Level],tblSensitivity[Score]),
_xlpm.Total,
_xlpm.DD+_xlpm.Sensitivity,
_xlfn.IFS(
_xlpm.Total&gt;=15,"Low",
_xlpm.Total&gt;=11,"Medium",
_xlpm.Total&gt;=7,"High",
TRUE,"Critical"
))</f>
        <v>Low</v>
      </c>
      <c r="P5" t="str" cm="1">
        <f t="array" ref="P5">_xlfn.IFS(
AND(tblVendorAssessment[[#This Row],[Overall Due Diligence Score]]&gt;=10,tblVendorAssessment[[#This Row],[Overall Risk Rating]]="Low"),"Strong",
AND(tblVendorAssessment[[#This Row],[Overall Due Diligence Score]]&gt;=10,OR(tblVendorAssessment[[#This Row],[Overall Risk Rating]]="Medium",tblVendorAssessment[[#This Row],[Overall Risk Rating]]="High",tblVendorAssessment[[#This Row],[Overall Risk Rating]]="Critical")),"Adequate",
AND(tblVendorAssessment[[#This Row],[Overall Due Diligence Score]]&gt;=7,tblVendorAssessment[[#This Row],[Overall Risk Rating]]="Low"),"Adequate",
AND(tblVendorAssessment[[#This Row],[Overall Due Diligence Score]]&gt;=7,tblVendorAssessment[[#This Row],[Overall Risk Rating]]="Medium"),"Moderate",
AND(tblVendorAssessment[[#This Row],[Overall Due Diligence Score]]&gt;=7,OR(tblVendorAssessment[[#This Row],[Overall Risk Rating]]="High",tblVendorAssessment[[#This Row],[Overall Risk Rating]]="Critical")),"Weak",
AND(tblVendorAssessment[[#This Row],[Overall Due Diligence Score]]&lt;7,tblVendorAssessment[[#This Row],[Overall Risk Rating]]="Low"),"Moderate",
TRUE,"Weak"
)</f>
        <v>Strong</v>
      </c>
      <c r="Q5" t="str" cm="1">
        <f t="array" ref="Q5">_xlfn.IFS(
tblVendorAssessment[[#This Row],[Overall Control Effectiveness]]="Strong","Approve",
tblVendorAssessment[[#This Row],[Overall Control Effectiveness]]="Adequate","Approve with Monitoring",
tblVendorAssessment[[#This Row],[Overall Control Effectiveness]]="Moderate","Conditional Approval",
tblVendorAssessment[[#This Row],[Overall Control Effectiveness]]="Weak","Rejected"
)</f>
        <v>Approve</v>
      </c>
    </row>
    <row r="6" spans="1:18" x14ac:dyDescent="0.25">
      <c r="A6" t="s">
        <v>170</v>
      </c>
      <c r="B6" t="str">
        <f t="shared" si="0"/>
        <v>V005</v>
      </c>
      <c r="C6" t="str">
        <f>_xlfn.XLOOKUP(
tblVendorAssessment[[#This Row],[Vendor ID]],
tblVendorRegister[Vendor ID],
tblVendorRegister[Vendor Name]
)</f>
        <v>Flutterwave</v>
      </c>
      <c r="D6" t="str">
        <f>_xlfn.XLOOKUP(
tblVendorAssessment[[#This Row],[Vendor ID]],
tblVendorRegister[Vendor ID],
tblVendorRegister[Service Category]
)</f>
        <v>Payment Processor</v>
      </c>
      <c r="G6" t="s">
        <v>1</v>
      </c>
      <c r="H6" t="s">
        <v>1</v>
      </c>
      <c r="I6" t="s">
        <v>1</v>
      </c>
      <c r="J6" t="s">
        <v>1</v>
      </c>
      <c r="K6" t="s">
        <v>1</v>
      </c>
      <c r="L6" t="s">
        <v>1</v>
      </c>
      <c r="M6" t="s">
        <v>195</v>
      </c>
      <c r="N6">
        <f>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f>
        <v>12</v>
      </c>
      <c r="O6" t="str" cm="1">
        <f t="array" ref="O6">_xlfn.LET(
_xlpm.DD,
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
_xlpm.Sensitivity,
_xlfn.XLOOKUP(tblVendorAssessment[[#This Row],[Information Sensitivity]],tblSensitivity[Level],tblSensitivity[Score]),
_xlpm.Total,
_xlpm.DD+_xlpm.Sensitivity,
_xlfn.IFS(
_xlpm.Total&gt;=15,"Low",
_xlpm.Total&gt;=11,"Medium",
_xlpm.Total&gt;=7,"High",
TRUE,"Critical"
))</f>
        <v>Low</v>
      </c>
      <c r="P6" t="str" cm="1">
        <f t="array" ref="P6">_xlfn.IFS(
AND(tblVendorAssessment[[#This Row],[Overall Due Diligence Score]]&gt;=10,tblVendorAssessment[[#This Row],[Overall Risk Rating]]="Low"),"Strong",
AND(tblVendorAssessment[[#This Row],[Overall Due Diligence Score]]&gt;=10,OR(tblVendorAssessment[[#This Row],[Overall Risk Rating]]="Medium",tblVendorAssessment[[#This Row],[Overall Risk Rating]]="High",tblVendorAssessment[[#This Row],[Overall Risk Rating]]="Critical")),"Adequate",
AND(tblVendorAssessment[[#This Row],[Overall Due Diligence Score]]&gt;=7,tblVendorAssessment[[#This Row],[Overall Risk Rating]]="Low"),"Adequate",
AND(tblVendorAssessment[[#This Row],[Overall Due Diligence Score]]&gt;=7,tblVendorAssessment[[#This Row],[Overall Risk Rating]]="Medium"),"Moderate",
AND(tblVendorAssessment[[#This Row],[Overall Due Diligence Score]]&gt;=7,OR(tblVendorAssessment[[#This Row],[Overall Risk Rating]]="High",tblVendorAssessment[[#This Row],[Overall Risk Rating]]="Critical")),"Weak",
AND(tblVendorAssessment[[#This Row],[Overall Due Diligence Score]]&lt;7,tblVendorAssessment[[#This Row],[Overall Risk Rating]]="Low"),"Moderate",
TRUE,"Weak"
)</f>
        <v>Strong</v>
      </c>
      <c r="Q6" t="str" cm="1">
        <f t="array" ref="Q6">_xlfn.IFS(
tblVendorAssessment[[#This Row],[Overall Control Effectiveness]]="Strong","Approve",
tblVendorAssessment[[#This Row],[Overall Control Effectiveness]]="Adequate","Approve with Monitoring",
tblVendorAssessment[[#This Row],[Overall Control Effectiveness]]="Moderate","Conditional Approval",
tblVendorAssessment[[#This Row],[Overall Control Effectiveness]]="Weak","Rejected"
)</f>
        <v>Approve</v>
      </c>
    </row>
    <row r="7" spans="1:18" x14ac:dyDescent="0.25">
      <c r="A7" t="s">
        <v>171</v>
      </c>
      <c r="B7" t="str">
        <f t="shared" si="0"/>
        <v>V006</v>
      </c>
      <c r="C7" t="str">
        <f>_xlfn.XLOOKUP(
tblVendorAssessment[[#This Row],[Vendor ID]],
tblVendorRegister[Vendor ID],
tblVendorRegister[Vendor Name]
)</f>
        <v>AWS</v>
      </c>
      <c r="D7" t="str">
        <f>_xlfn.XLOOKUP(
tblVendorAssessment[[#This Row],[Vendor ID]],
tblVendorRegister[Vendor ID],
tblVendorRegister[Service Category]
)</f>
        <v>Cloud Hosting</v>
      </c>
      <c r="G7" t="s">
        <v>1</v>
      </c>
      <c r="H7" t="s">
        <v>1</v>
      </c>
      <c r="I7" t="s">
        <v>1</v>
      </c>
      <c r="J7" t="s">
        <v>160</v>
      </c>
      <c r="K7" t="s">
        <v>2</v>
      </c>
      <c r="L7" t="s">
        <v>1</v>
      </c>
      <c r="M7" t="s">
        <v>195</v>
      </c>
      <c r="N7">
        <f>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f>
        <v>9</v>
      </c>
      <c r="O7" t="str" cm="1">
        <f t="array" ref="O7">_xlfn.LET(
_xlpm.DD,
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
_xlpm.Sensitivity,
_xlfn.XLOOKUP(tblVendorAssessment[[#This Row],[Information Sensitivity]],tblSensitivity[Level],tblSensitivity[Score]),
_xlpm.Total,
_xlpm.DD+_xlpm.Sensitivity,
_xlfn.IFS(
_xlpm.Total&gt;=15,"Low",
_xlpm.Total&gt;=11,"Medium",
_xlpm.Total&gt;=7,"High",
TRUE,"Critical"
))</f>
        <v>Medium</v>
      </c>
      <c r="P7" t="str" cm="1">
        <f t="array" ref="P7">_xlfn.IFS(
AND(tblVendorAssessment[[#This Row],[Overall Due Diligence Score]]&gt;=10,tblVendorAssessment[[#This Row],[Overall Risk Rating]]="Low"),"Strong",
AND(tblVendorAssessment[[#This Row],[Overall Due Diligence Score]]&gt;=10,OR(tblVendorAssessment[[#This Row],[Overall Risk Rating]]="Medium",tblVendorAssessment[[#This Row],[Overall Risk Rating]]="High",tblVendorAssessment[[#This Row],[Overall Risk Rating]]="Critical")),"Adequate",
AND(tblVendorAssessment[[#This Row],[Overall Due Diligence Score]]&gt;=7,tblVendorAssessment[[#This Row],[Overall Risk Rating]]="Low"),"Adequate",
AND(tblVendorAssessment[[#This Row],[Overall Due Diligence Score]]&gt;=7,tblVendorAssessment[[#This Row],[Overall Risk Rating]]="Medium"),"Moderate",
AND(tblVendorAssessment[[#This Row],[Overall Due Diligence Score]]&gt;=7,OR(tblVendorAssessment[[#This Row],[Overall Risk Rating]]="High",tblVendorAssessment[[#This Row],[Overall Risk Rating]]="Critical")),"Weak",
AND(tblVendorAssessment[[#This Row],[Overall Due Diligence Score]]&lt;7,tblVendorAssessment[[#This Row],[Overall Risk Rating]]="Low"),"Moderate",
TRUE,"Weak"
)</f>
        <v>Moderate</v>
      </c>
      <c r="Q7" t="str" cm="1">
        <f t="array" ref="Q7">_xlfn.IFS(
tblVendorAssessment[[#This Row],[Overall Control Effectiveness]]="Strong","Approve",
tblVendorAssessment[[#This Row],[Overall Control Effectiveness]]="Adequate","Approve with Monitoring",
tblVendorAssessment[[#This Row],[Overall Control Effectiveness]]="Moderate","Conditional Approval",
tblVendorAssessment[[#This Row],[Overall Control Effectiveness]]="Weak","Rejected"
)</f>
        <v>Conditional Approval</v>
      </c>
    </row>
    <row r="8" spans="1:18" x14ac:dyDescent="0.25">
      <c r="A8" t="s">
        <v>172</v>
      </c>
      <c r="B8" t="str">
        <f t="shared" si="0"/>
        <v>V007</v>
      </c>
      <c r="C8" t="str">
        <f>_xlfn.XLOOKUP(
tblVendorAssessment[[#This Row],[Vendor ID]],
tblVendorRegister[Vendor ID],
tblVendorRegister[Vendor Name]
)</f>
        <v>Cloudflare</v>
      </c>
      <c r="D8" t="str">
        <f>_xlfn.XLOOKUP(
tblVendorAssessment[[#This Row],[Vendor ID]],
tblVendorRegister[Vendor ID],
tblVendorRegister[Service Category]
)</f>
        <v>CDN &amp; Security</v>
      </c>
      <c r="G8" t="s">
        <v>160</v>
      </c>
      <c r="H8" t="s">
        <v>2</v>
      </c>
      <c r="I8" t="s">
        <v>1</v>
      </c>
      <c r="J8" t="s">
        <v>1</v>
      </c>
      <c r="K8" t="s">
        <v>1</v>
      </c>
      <c r="L8" t="s">
        <v>1</v>
      </c>
      <c r="M8" t="s">
        <v>194</v>
      </c>
      <c r="N8">
        <f>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f>
        <v>9</v>
      </c>
      <c r="O8" t="str" cm="1">
        <f t="array" ref="O8">_xlfn.LET(
_xlpm.DD,
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
_xlpm.Sensitivity,
_xlfn.XLOOKUP(tblVendorAssessment[[#This Row],[Information Sensitivity]],tblSensitivity[Level],tblSensitivity[Score]),
_xlpm.Total,
_xlpm.DD+_xlpm.Sensitivity,
_xlfn.IFS(
_xlpm.Total&gt;=15,"Low",
_xlpm.Total&gt;=11,"Medium",
_xlpm.Total&gt;=7,"High",
TRUE,"Critical"
))</f>
        <v>Medium</v>
      </c>
      <c r="P8" t="str" cm="1">
        <f t="array" ref="P8">_xlfn.IFS(
AND(tblVendorAssessment[[#This Row],[Overall Due Diligence Score]]&gt;=10,tblVendorAssessment[[#This Row],[Overall Risk Rating]]="Low"),"Strong",
AND(tblVendorAssessment[[#This Row],[Overall Due Diligence Score]]&gt;=10,OR(tblVendorAssessment[[#This Row],[Overall Risk Rating]]="Medium",tblVendorAssessment[[#This Row],[Overall Risk Rating]]="High",tblVendorAssessment[[#This Row],[Overall Risk Rating]]="Critical")),"Adequate",
AND(tblVendorAssessment[[#This Row],[Overall Due Diligence Score]]&gt;=7,tblVendorAssessment[[#This Row],[Overall Risk Rating]]="Low"),"Adequate",
AND(tblVendorAssessment[[#This Row],[Overall Due Diligence Score]]&gt;=7,tblVendorAssessment[[#This Row],[Overall Risk Rating]]="Medium"),"Moderate",
AND(tblVendorAssessment[[#This Row],[Overall Due Diligence Score]]&gt;=7,OR(tblVendorAssessment[[#This Row],[Overall Risk Rating]]="High",tblVendorAssessment[[#This Row],[Overall Risk Rating]]="Critical")),"Weak",
AND(tblVendorAssessment[[#This Row],[Overall Due Diligence Score]]&lt;7,tblVendorAssessment[[#This Row],[Overall Risk Rating]]="Low"),"Moderate",
TRUE,"Weak"
)</f>
        <v>Moderate</v>
      </c>
      <c r="Q8" t="str" cm="1">
        <f t="array" ref="Q8">_xlfn.IFS(
tblVendorAssessment[[#This Row],[Overall Control Effectiveness]]="Strong","Approve",
tblVendorAssessment[[#This Row],[Overall Control Effectiveness]]="Adequate","Approve with Monitoring",
tblVendorAssessment[[#This Row],[Overall Control Effectiveness]]="Moderate","Conditional Approval",
tblVendorAssessment[[#This Row],[Overall Control Effectiveness]]="Weak","Rejected"
)</f>
        <v>Conditional Approval</v>
      </c>
    </row>
    <row r="9" spans="1:18" x14ac:dyDescent="0.25">
      <c r="A9" t="s">
        <v>173</v>
      </c>
      <c r="B9" t="str">
        <f t="shared" si="0"/>
        <v>V008</v>
      </c>
      <c r="C9" t="str">
        <f>_xlfn.XLOOKUP(
tblVendorAssessment[[#This Row],[Vendor ID]],
tblVendorRegister[Vendor ID],
tblVendorRegister[Vendor Name]
)</f>
        <v>Cisco</v>
      </c>
      <c r="D9" t="str">
        <f>_xlfn.XLOOKUP(
tblVendorAssessment[[#This Row],[Vendor ID]],
tblVendorRegister[Vendor ID],
tblVendorRegister[Service Category]
)</f>
        <v>Network Infrastructure</v>
      </c>
      <c r="G9" t="s">
        <v>1</v>
      </c>
      <c r="H9" t="s">
        <v>2</v>
      </c>
      <c r="I9" t="s">
        <v>1</v>
      </c>
      <c r="J9" t="s">
        <v>1</v>
      </c>
      <c r="K9" t="s">
        <v>1</v>
      </c>
      <c r="L9" t="s">
        <v>1</v>
      </c>
      <c r="M9" t="s">
        <v>195</v>
      </c>
      <c r="N9">
        <f>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f>
        <v>10</v>
      </c>
      <c r="O9" t="str" cm="1">
        <f t="array" ref="O9">_xlfn.LET(
_xlpm.DD,
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
_xlpm.Sensitivity,
_xlfn.XLOOKUP(tblVendorAssessment[[#This Row],[Information Sensitivity]],tblSensitivity[Level],tblSensitivity[Score]),
_xlpm.Total,
_xlpm.DD+_xlpm.Sensitivity,
_xlfn.IFS(
_xlpm.Total&gt;=15,"Low",
_xlpm.Total&gt;=11,"Medium",
_xlpm.Total&gt;=7,"High",
TRUE,"Critical"
))</f>
        <v>Medium</v>
      </c>
      <c r="P9" t="str" cm="1">
        <f t="array" ref="P9">_xlfn.IFS(
AND(tblVendorAssessment[[#This Row],[Overall Due Diligence Score]]&gt;=10,tblVendorAssessment[[#This Row],[Overall Risk Rating]]="Low"),"Strong",
AND(tblVendorAssessment[[#This Row],[Overall Due Diligence Score]]&gt;=10,OR(tblVendorAssessment[[#This Row],[Overall Risk Rating]]="Medium",tblVendorAssessment[[#This Row],[Overall Risk Rating]]="High",tblVendorAssessment[[#This Row],[Overall Risk Rating]]="Critical")),"Adequate",
AND(tblVendorAssessment[[#This Row],[Overall Due Diligence Score]]&gt;=7,tblVendorAssessment[[#This Row],[Overall Risk Rating]]="Low"),"Adequate",
AND(tblVendorAssessment[[#This Row],[Overall Due Diligence Score]]&gt;=7,tblVendorAssessment[[#This Row],[Overall Risk Rating]]="Medium"),"Moderate",
AND(tblVendorAssessment[[#This Row],[Overall Due Diligence Score]]&gt;=7,OR(tblVendorAssessment[[#This Row],[Overall Risk Rating]]="High",tblVendorAssessment[[#This Row],[Overall Risk Rating]]="Critical")),"Weak",
AND(tblVendorAssessment[[#This Row],[Overall Due Diligence Score]]&lt;7,tblVendorAssessment[[#This Row],[Overall Risk Rating]]="Low"),"Moderate",
TRUE,"Weak"
)</f>
        <v>Adequate</v>
      </c>
      <c r="Q9" t="str" cm="1">
        <f t="array" ref="Q9">_xlfn.IFS(
tblVendorAssessment[[#This Row],[Overall Control Effectiveness]]="Strong","Approve",
tblVendorAssessment[[#This Row],[Overall Control Effectiveness]]="Adequate","Approve with Monitoring",
tblVendorAssessment[[#This Row],[Overall Control Effectiveness]]="Moderate","Conditional Approval",
tblVendorAssessment[[#This Row],[Overall Control Effectiveness]]="Weak","Rejected"
)</f>
        <v>Approve with Monitoring</v>
      </c>
    </row>
    <row r="10" spans="1:18" x14ac:dyDescent="0.25">
      <c r="A10" t="s">
        <v>174</v>
      </c>
      <c r="B10" t="str">
        <f t="shared" si="0"/>
        <v>V009</v>
      </c>
      <c r="C10" t="str">
        <f>_xlfn.XLOOKUP(
tblVendorAssessment[[#This Row],[Vendor ID]],
tblVendorRegister[Vendor ID],
tblVendorRegister[Vendor Name]
)</f>
        <v>Palo Alto Networks</v>
      </c>
      <c r="D10" t="str">
        <f>_xlfn.XLOOKUP(
tblVendorAssessment[[#This Row],[Vendor ID]],
tblVendorRegister[Vendor ID],
tblVendorRegister[Service Category]
)</f>
        <v>Cybersecurity</v>
      </c>
      <c r="G10" t="s">
        <v>1</v>
      </c>
      <c r="H10" t="s">
        <v>2</v>
      </c>
      <c r="I10" t="s">
        <v>1</v>
      </c>
      <c r="J10" t="s">
        <v>1</v>
      </c>
      <c r="K10" t="s">
        <v>1</v>
      </c>
      <c r="L10" t="s">
        <v>1</v>
      </c>
      <c r="M10" t="s">
        <v>195</v>
      </c>
      <c r="N10">
        <f>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f>
        <v>10</v>
      </c>
      <c r="O10" t="str" cm="1">
        <f t="array" ref="O10">_xlfn.LET(
_xlpm.DD,
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
_xlpm.Sensitivity,
_xlfn.XLOOKUP(tblVendorAssessment[[#This Row],[Information Sensitivity]],tblSensitivity[Level],tblSensitivity[Score]),
_xlpm.Total,
_xlpm.DD+_xlpm.Sensitivity,
_xlfn.IFS(
_xlpm.Total&gt;=15,"Low",
_xlpm.Total&gt;=11,"Medium",
_xlpm.Total&gt;=7,"High",
TRUE,"Critical"
))</f>
        <v>Medium</v>
      </c>
      <c r="P10" t="str" cm="1">
        <f t="array" ref="P10">_xlfn.IFS(
AND(tblVendorAssessment[[#This Row],[Overall Due Diligence Score]]&gt;=10,tblVendorAssessment[[#This Row],[Overall Risk Rating]]="Low"),"Strong",
AND(tblVendorAssessment[[#This Row],[Overall Due Diligence Score]]&gt;=10,OR(tblVendorAssessment[[#This Row],[Overall Risk Rating]]="Medium",tblVendorAssessment[[#This Row],[Overall Risk Rating]]="High",tblVendorAssessment[[#This Row],[Overall Risk Rating]]="Critical")),"Adequate",
AND(tblVendorAssessment[[#This Row],[Overall Due Diligence Score]]&gt;=7,tblVendorAssessment[[#This Row],[Overall Risk Rating]]="Low"),"Adequate",
AND(tblVendorAssessment[[#This Row],[Overall Due Diligence Score]]&gt;=7,tblVendorAssessment[[#This Row],[Overall Risk Rating]]="Medium"),"Moderate",
AND(tblVendorAssessment[[#This Row],[Overall Due Diligence Score]]&gt;=7,OR(tblVendorAssessment[[#This Row],[Overall Risk Rating]]="High",tblVendorAssessment[[#This Row],[Overall Risk Rating]]="Critical")),"Weak",
AND(tblVendorAssessment[[#This Row],[Overall Due Diligence Score]]&lt;7,tblVendorAssessment[[#This Row],[Overall Risk Rating]]="Low"),"Moderate",
TRUE,"Weak"
)</f>
        <v>Adequate</v>
      </c>
      <c r="Q10" t="str" cm="1">
        <f t="array" ref="Q10">_xlfn.IFS(
tblVendorAssessment[[#This Row],[Overall Control Effectiveness]]="Strong","Approve",
tblVendorAssessment[[#This Row],[Overall Control Effectiveness]]="Adequate","Approve with Monitoring",
tblVendorAssessment[[#This Row],[Overall Control Effectiveness]]="Moderate","Conditional Approval",
tblVendorAssessment[[#This Row],[Overall Control Effectiveness]]="Weak","Rejected"
)</f>
        <v>Approve with Monitoring</v>
      </c>
    </row>
    <row r="11" spans="1:18" x14ac:dyDescent="0.25">
      <c r="A11" t="s">
        <v>175</v>
      </c>
      <c r="B11" t="str">
        <f t="shared" si="0"/>
        <v>V010</v>
      </c>
      <c r="C11" t="str">
        <f>_xlfn.XLOOKUP(
tblVendorAssessment[[#This Row],[Vendor ID]],
tblVendorRegister[Vendor ID],
tblVendorRegister[Vendor Name]
)</f>
        <v>KPMG Nigeria</v>
      </c>
      <c r="D11" t="str">
        <f>_xlfn.XLOOKUP(
tblVendorAssessment[[#This Row],[Vendor ID]],
tblVendorRegister[Vendor ID],
tblVendorRegister[Service Category]
)</f>
        <v>External Audit</v>
      </c>
      <c r="G11" t="s">
        <v>1</v>
      </c>
      <c r="H11" t="s">
        <v>1</v>
      </c>
      <c r="I11" t="s">
        <v>1</v>
      </c>
      <c r="J11" t="s">
        <v>1</v>
      </c>
      <c r="K11" t="s">
        <v>2</v>
      </c>
      <c r="L11" t="s">
        <v>1</v>
      </c>
      <c r="M11" t="s">
        <v>195</v>
      </c>
      <c r="N11">
        <f>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f>
        <v>10</v>
      </c>
      <c r="O11" t="str" cm="1">
        <f t="array" ref="O11">_xlfn.LET(
_xlpm.DD,
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
_xlpm.Sensitivity,
_xlfn.XLOOKUP(tblVendorAssessment[[#This Row],[Information Sensitivity]],tblSensitivity[Level],tblSensitivity[Score]),
_xlpm.Total,
_xlpm.DD+_xlpm.Sensitivity,
_xlfn.IFS(
_xlpm.Total&gt;=15,"Low",
_xlpm.Total&gt;=11,"Medium",
_xlpm.Total&gt;=7,"High",
TRUE,"Critical"
))</f>
        <v>Medium</v>
      </c>
      <c r="P11" t="str" cm="1">
        <f t="array" ref="P11">_xlfn.IFS(
AND(tblVendorAssessment[[#This Row],[Overall Due Diligence Score]]&gt;=10,tblVendorAssessment[[#This Row],[Overall Risk Rating]]="Low"),"Strong",
AND(tblVendorAssessment[[#This Row],[Overall Due Diligence Score]]&gt;=10,OR(tblVendorAssessment[[#This Row],[Overall Risk Rating]]="Medium",tblVendorAssessment[[#This Row],[Overall Risk Rating]]="High",tblVendorAssessment[[#This Row],[Overall Risk Rating]]="Critical")),"Adequate",
AND(tblVendorAssessment[[#This Row],[Overall Due Diligence Score]]&gt;=7,tblVendorAssessment[[#This Row],[Overall Risk Rating]]="Low"),"Adequate",
AND(tblVendorAssessment[[#This Row],[Overall Due Diligence Score]]&gt;=7,tblVendorAssessment[[#This Row],[Overall Risk Rating]]="Medium"),"Moderate",
AND(tblVendorAssessment[[#This Row],[Overall Due Diligence Score]]&gt;=7,OR(tblVendorAssessment[[#This Row],[Overall Risk Rating]]="High",tblVendorAssessment[[#This Row],[Overall Risk Rating]]="Critical")),"Weak",
AND(tblVendorAssessment[[#This Row],[Overall Due Diligence Score]]&lt;7,tblVendorAssessment[[#This Row],[Overall Risk Rating]]="Low"),"Moderate",
TRUE,"Weak"
)</f>
        <v>Adequate</v>
      </c>
      <c r="Q11" t="str" cm="1">
        <f t="array" ref="Q11">_xlfn.IFS(
tblVendorAssessment[[#This Row],[Overall Control Effectiveness]]="Strong","Approve",
tblVendorAssessment[[#This Row],[Overall Control Effectiveness]]="Adequate","Approve with Monitoring",
tblVendorAssessment[[#This Row],[Overall Control Effectiveness]]="Moderate","Conditional Approval",
tblVendorAssessment[[#This Row],[Overall Control Effectiveness]]="Weak","Rejected"
)</f>
        <v>Approve with Monitoring</v>
      </c>
    </row>
    <row r="12" spans="1:18" x14ac:dyDescent="0.25">
      <c r="A12" t="s">
        <v>176</v>
      </c>
      <c r="B12" t="str">
        <f t="shared" si="0"/>
        <v>V011</v>
      </c>
      <c r="C12" t="str">
        <f>_xlfn.XLOOKUP(
tblVendorAssessment[[#This Row],[Vendor ID]],
tblVendorRegister[Vendor ID],
tblVendorRegister[Vendor Name]
)</f>
        <v>Deloitte Nigeria</v>
      </c>
      <c r="D12" t="str">
        <f>_xlfn.XLOOKUP(
tblVendorAssessment[[#This Row],[Vendor ID]],
tblVendorRegister[Vendor ID],
tblVendorRegister[Service Category]
)</f>
        <v>Risk Advisory</v>
      </c>
      <c r="G12" t="s">
        <v>2</v>
      </c>
      <c r="H12" t="s">
        <v>1</v>
      </c>
      <c r="I12" t="s">
        <v>1</v>
      </c>
      <c r="J12" t="s">
        <v>160</v>
      </c>
      <c r="K12" t="s">
        <v>1</v>
      </c>
      <c r="L12" t="s">
        <v>1</v>
      </c>
      <c r="M12" t="s">
        <v>195</v>
      </c>
      <c r="N12">
        <f>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f>
        <v>9</v>
      </c>
      <c r="O12" t="str" cm="1">
        <f t="array" ref="O12">_xlfn.LET(
_xlpm.DD,
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
_xlpm.Sensitivity,
_xlfn.XLOOKUP(tblVendorAssessment[[#This Row],[Information Sensitivity]],tblSensitivity[Level],tblSensitivity[Score]),
_xlpm.Total,
_xlpm.DD+_xlpm.Sensitivity,
_xlfn.IFS(
_xlpm.Total&gt;=15,"Low",
_xlpm.Total&gt;=11,"Medium",
_xlpm.Total&gt;=7,"High",
TRUE,"Critical"
))</f>
        <v>Medium</v>
      </c>
      <c r="P12" t="str" cm="1">
        <f t="array" ref="P12">_xlfn.IFS(
AND(tblVendorAssessment[[#This Row],[Overall Due Diligence Score]]&gt;=10,tblVendorAssessment[[#This Row],[Overall Risk Rating]]="Low"),"Strong",
AND(tblVendorAssessment[[#This Row],[Overall Due Diligence Score]]&gt;=10,OR(tblVendorAssessment[[#This Row],[Overall Risk Rating]]="Medium",tblVendorAssessment[[#This Row],[Overall Risk Rating]]="High",tblVendorAssessment[[#This Row],[Overall Risk Rating]]="Critical")),"Adequate",
AND(tblVendorAssessment[[#This Row],[Overall Due Diligence Score]]&gt;=7,tblVendorAssessment[[#This Row],[Overall Risk Rating]]="Low"),"Adequate",
AND(tblVendorAssessment[[#This Row],[Overall Due Diligence Score]]&gt;=7,tblVendorAssessment[[#This Row],[Overall Risk Rating]]="Medium"),"Moderate",
AND(tblVendorAssessment[[#This Row],[Overall Due Diligence Score]]&gt;=7,OR(tblVendorAssessment[[#This Row],[Overall Risk Rating]]="High",tblVendorAssessment[[#This Row],[Overall Risk Rating]]="Critical")),"Weak",
AND(tblVendorAssessment[[#This Row],[Overall Due Diligence Score]]&lt;7,tblVendorAssessment[[#This Row],[Overall Risk Rating]]="Low"),"Moderate",
TRUE,"Weak"
)</f>
        <v>Moderate</v>
      </c>
      <c r="Q12" t="str" cm="1">
        <f t="array" ref="Q12">_xlfn.IFS(
tblVendorAssessment[[#This Row],[Overall Control Effectiveness]]="Strong","Approve",
tblVendorAssessment[[#This Row],[Overall Control Effectiveness]]="Adequate","Approve with Monitoring",
tblVendorAssessment[[#This Row],[Overall Control Effectiveness]]="Moderate","Conditional Approval",
tblVendorAssessment[[#This Row],[Overall Control Effectiveness]]="Weak","Rejected"
)</f>
        <v>Conditional Approval</v>
      </c>
    </row>
    <row r="13" spans="1:18" x14ac:dyDescent="0.25">
      <c r="A13" t="s">
        <v>177</v>
      </c>
      <c r="B13" t="str">
        <f t="shared" si="0"/>
        <v>V012</v>
      </c>
      <c r="C13" t="str">
        <f>_xlfn.XLOOKUP(
tblVendorAssessment[[#This Row],[Vendor ID]],
tblVendorRegister[Vendor ID],
tblVendorRegister[Vendor Name]
)</f>
        <v>MainOne</v>
      </c>
      <c r="D13" t="str">
        <f>_xlfn.XLOOKUP(
tblVendorAssessment[[#This Row],[Vendor ID]],
tblVendorRegister[Vendor ID],
tblVendorRegister[Service Category]
)</f>
        <v>Internet Services</v>
      </c>
      <c r="G13" t="s">
        <v>1</v>
      </c>
      <c r="H13" t="s">
        <v>2</v>
      </c>
      <c r="I13" t="s">
        <v>1</v>
      </c>
      <c r="J13" t="s">
        <v>1</v>
      </c>
      <c r="K13" t="s">
        <v>1</v>
      </c>
      <c r="L13" t="s">
        <v>160</v>
      </c>
      <c r="M13" t="s">
        <v>193</v>
      </c>
      <c r="N13">
        <f>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f>
        <v>9</v>
      </c>
      <c r="O13" t="str" cm="1">
        <f t="array" ref="O13">_xlfn.LET(
_xlpm.DD,
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
_xlpm.Sensitivity,
_xlfn.XLOOKUP(tblVendorAssessment[[#This Row],[Information Sensitivity]],tblSensitivity[Level],tblSensitivity[Score]),
_xlpm.Total,
_xlpm.DD+_xlpm.Sensitivity,
_xlfn.IFS(
_xlpm.Total&gt;=15,"Low",
_xlpm.Total&gt;=11,"Medium",
_xlpm.Total&gt;=7,"High",
TRUE,"Critical"
))</f>
        <v>High</v>
      </c>
      <c r="P13" t="str" cm="1">
        <f t="array" ref="P13">_xlfn.IFS(
AND(tblVendorAssessment[[#This Row],[Overall Due Diligence Score]]&gt;=10,tblVendorAssessment[[#This Row],[Overall Risk Rating]]="Low"),"Strong",
AND(tblVendorAssessment[[#This Row],[Overall Due Diligence Score]]&gt;=10,OR(tblVendorAssessment[[#This Row],[Overall Risk Rating]]="Medium",tblVendorAssessment[[#This Row],[Overall Risk Rating]]="High",tblVendorAssessment[[#This Row],[Overall Risk Rating]]="Critical")),"Adequate",
AND(tblVendorAssessment[[#This Row],[Overall Due Diligence Score]]&gt;=7,tblVendorAssessment[[#This Row],[Overall Risk Rating]]="Low"),"Adequate",
AND(tblVendorAssessment[[#This Row],[Overall Due Diligence Score]]&gt;=7,tblVendorAssessment[[#This Row],[Overall Risk Rating]]="Medium"),"Moderate",
AND(tblVendorAssessment[[#This Row],[Overall Due Diligence Score]]&gt;=7,OR(tblVendorAssessment[[#This Row],[Overall Risk Rating]]="High",tblVendorAssessment[[#This Row],[Overall Risk Rating]]="Critical")),"Weak",
AND(tblVendorAssessment[[#This Row],[Overall Due Diligence Score]]&lt;7,tblVendorAssessment[[#This Row],[Overall Risk Rating]]="Low"),"Moderate",
TRUE,"Weak"
)</f>
        <v>Weak</v>
      </c>
      <c r="Q13" t="str" cm="1">
        <f t="array" ref="Q13">_xlfn.IFS(
tblVendorAssessment[[#This Row],[Overall Control Effectiveness]]="Strong","Approve",
tblVendorAssessment[[#This Row],[Overall Control Effectiveness]]="Adequate","Approve with Monitoring",
tblVendorAssessment[[#This Row],[Overall Control Effectiveness]]="Moderate","Conditional Approval",
tblVendorAssessment[[#This Row],[Overall Control Effectiveness]]="Weak","Rejected"
)</f>
        <v>Rejected</v>
      </c>
    </row>
    <row r="14" spans="1:18" x14ac:dyDescent="0.25">
      <c r="A14" t="s">
        <v>178</v>
      </c>
      <c r="B14" t="str">
        <f t="shared" si="0"/>
        <v>V013</v>
      </c>
      <c r="C14" t="str">
        <f>_xlfn.XLOOKUP(
tblVendorAssessment[[#This Row],[Vendor ID]],
tblVendorRegister[Vendor ID],
tblVendorRegister[Vendor Name]
)</f>
        <v>MTN Nigeria</v>
      </c>
      <c r="D14" t="str">
        <f>_xlfn.XLOOKUP(
tblVendorAssessment[[#This Row],[Vendor ID]],
tblVendorRegister[Vendor ID],
tblVendorRegister[Service Category]
)</f>
        <v>Telecommunications</v>
      </c>
      <c r="G14" t="s">
        <v>1</v>
      </c>
      <c r="H14" t="s">
        <v>1</v>
      </c>
      <c r="I14" t="s">
        <v>1</v>
      </c>
      <c r="J14" t="s">
        <v>1</v>
      </c>
      <c r="K14" t="s">
        <v>160</v>
      </c>
      <c r="L14" t="s">
        <v>1</v>
      </c>
      <c r="M14" t="s">
        <v>195</v>
      </c>
      <c r="N14">
        <f>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f>
        <v>11</v>
      </c>
      <c r="O14" t="str" cm="1">
        <f t="array" ref="O14">_xlfn.LET(
_xlpm.DD,
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
_xlpm.Sensitivity,
_xlfn.XLOOKUP(tblVendorAssessment[[#This Row],[Information Sensitivity]],tblSensitivity[Level],tblSensitivity[Score]),
_xlpm.Total,
_xlpm.DD+_xlpm.Sensitivity,
_xlfn.IFS(
_xlpm.Total&gt;=15,"Low",
_xlpm.Total&gt;=11,"Medium",
_xlpm.Total&gt;=7,"High",
TRUE,"Critical"
))</f>
        <v>Medium</v>
      </c>
      <c r="P14" t="str" cm="1">
        <f t="array" ref="P14">_xlfn.IFS(
AND(tblVendorAssessment[[#This Row],[Overall Due Diligence Score]]&gt;=10,tblVendorAssessment[[#This Row],[Overall Risk Rating]]="Low"),"Strong",
AND(tblVendorAssessment[[#This Row],[Overall Due Diligence Score]]&gt;=10,OR(tblVendorAssessment[[#This Row],[Overall Risk Rating]]="Medium",tblVendorAssessment[[#This Row],[Overall Risk Rating]]="High",tblVendorAssessment[[#This Row],[Overall Risk Rating]]="Critical")),"Adequate",
AND(tblVendorAssessment[[#This Row],[Overall Due Diligence Score]]&gt;=7,tblVendorAssessment[[#This Row],[Overall Risk Rating]]="Low"),"Adequate",
AND(tblVendorAssessment[[#This Row],[Overall Due Diligence Score]]&gt;=7,tblVendorAssessment[[#This Row],[Overall Risk Rating]]="Medium"),"Moderate",
AND(tblVendorAssessment[[#This Row],[Overall Due Diligence Score]]&gt;=7,OR(tblVendorAssessment[[#This Row],[Overall Risk Rating]]="High",tblVendorAssessment[[#This Row],[Overall Risk Rating]]="Critical")),"Weak",
AND(tblVendorAssessment[[#This Row],[Overall Due Diligence Score]]&lt;7,tblVendorAssessment[[#This Row],[Overall Risk Rating]]="Low"),"Moderate",
TRUE,"Weak"
)</f>
        <v>Adequate</v>
      </c>
      <c r="Q14" t="str" cm="1">
        <f t="array" ref="Q14">_xlfn.IFS(
tblVendorAssessment[[#This Row],[Overall Control Effectiveness]]="Strong","Approve",
tblVendorAssessment[[#This Row],[Overall Control Effectiveness]]="Adequate","Approve with Monitoring",
tblVendorAssessment[[#This Row],[Overall Control Effectiveness]]="Moderate","Conditional Approval",
tblVendorAssessment[[#This Row],[Overall Control Effectiveness]]="Weak","Rejected"
)</f>
        <v>Approve with Monitoring</v>
      </c>
    </row>
    <row r="15" spans="1:18" x14ac:dyDescent="0.25">
      <c r="A15" t="s">
        <v>179</v>
      </c>
      <c r="B15" t="str">
        <f t="shared" si="0"/>
        <v>V014</v>
      </c>
      <c r="C15" t="str">
        <f>_xlfn.XLOOKUP(
tblVendorAssessment[[#This Row],[Vendor ID]],
tblVendorRegister[Vendor ID],
tblVendorRegister[Vendor Name]
)</f>
        <v>Redington Nigeria</v>
      </c>
      <c r="D15" t="str">
        <f>_xlfn.XLOOKUP(
tblVendorAssessment[[#This Row],[Vendor ID]],
tblVendorRegister[Vendor ID],
tblVendorRegister[Service Category]
)</f>
        <v>Hardware Supplier</v>
      </c>
      <c r="G15" t="s">
        <v>2</v>
      </c>
      <c r="H15" t="s">
        <v>1</v>
      </c>
      <c r="I15" t="s">
        <v>1</v>
      </c>
      <c r="J15" t="s">
        <v>1</v>
      </c>
      <c r="K15" t="s">
        <v>1</v>
      </c>
      <c r="L15" t="s">
        <v>1</v>
      </c>
      <c r="M15" t="s">
        <v>195</v>
      </c>
      <c r="N15">
        <f>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f>
        <v>10</v>
      </c>
      <c r="O15" t="str" cm="1">
        <f t="array" ref="O15">_xlfn.LET(
_xlpm.DD,
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
_xlpm.Sensitivity,
_xlfn.XLOOKUP(tblVendorAssessment[[#This Row],[Information Sensitivity]],tblSensitivity[Level],tblSensitivity[Score]),
_xlpm.Total,
_xlpm.DD+_xlpm.Sensitivity,
_xlfn.IFS(
_xlpm.Total&gt;=15,"Low",
_xlpm.Total&gt;=11,"Medium",
_xlpm.Total&gt;=7,"High",
TRUE,"Critical"
))</f>
        <v>Medium</v>
      </c>
      <c r="P15" t="str" cm="1">
        <f t="array" ref="P15">_xlfn.IFS(
AND(tblVendorAssessment[[#This Row],[Overall Due Diligence Score]]&gt;=10,tblVendorAssessment[[#This Row],[Overall Risk Rating]]="Low"),"Strong",
AND(tblVendorAssessment[[#This Row],[Overall Due Diligence Score]]&gt;=10,OR(tblVendorAssessment[[#This Row],[Overall Risk Rating]]="Medium",tblVendorAssessment[[#This Row],[Overall Risk Rating]]="High",tblVendorAssessment[[#This Row],[Overall Risk Rating]]="Critical")),"Adequate",
AND(tblVendorAssessment[[#This Row],[Overall Due Diligence Score]]&gt;=7,tblVendorAssessment[[#This Row],[Overall Risk Rating]]="Low"),"Adequate",
AND(tblVendorAssessment[[#This Row],[Overall Due Diligence Score]]&gt;=7,tblVendorAssessment[[#This Row],[Overall Risk Rating]]="Medium"),"Moderate",
AND(tblVendorAssessment[[#This Row],[Overall Due Diligence Score]]&gt;=7,OR(tblVendorAssessment[[#This Row],[Overall Risk Rating]]="High",tblVendorAssessment[[#This Row],[Overall Risk Rating]]="Critical")),"Weak",
AND(tblVendorAssessment[[#This Row],[Overall Due Diligence Score]]&lt;7,tblVendorAssessment[[#This Row],[Overall Risk Rating]]="Low"),"Moderate",
TRUE,"Weak"
)</f>
        <v>Adequate</v>
      </c>
      <c r="Q15" t="str" cm="1">
        <f t="array" ref="Q15">_xlfn.IFS(
tblVendorAssessment[[#This Row],[Overall Control Effectiveness]]="Strong","Approve",
tblVendorAssessment[[#This Row],[Overall Control Effectiveness]]="Adequate","Approve with Monitoring",
tblVendorAssessment[[#This Row],[Overall Control Effectiveness]]="Moderate","Conditional Approval",
tblVendorAssessment[[#This Row],[Overall Control Effectiveness]]="Weak","Rejected"
)</f>
        <v>Approve with Monitoring</v>
      </c>
    </row>
    <row r="16" spans="1:18" x14ac:dyDescent="0.25">
      <c r="A16" t="s">
        <v>180</v>
      </c>
      <c r="B16" t="str">
        <f t="shared" si="0"/>
        <v>V015</v>
      </c>
      <c r="C16" t="str">
        <f>_xlfn.XLOOKUP(
tblVendorAssessment[[#This Row],[Vendor ID]],
tblVendorRegister[Vendor ID],
tblVendorRegister[Vendor Name]
)</f>
        <v>HP Enterprise</v>
      </c>
      <c r="D16" t="str">
        <f>_xlfn.XLOOKUP(
tblVendorAssessment[[#This Row],[Vendor ID]],
tblVendorRegister[Vendor ID],
tblVendorRegister[Service Category]
)</f>
        <v>Server Infrastructure</v>
      </c>
      <c r="G16" t="s">
        <v>1</v>
      </c>
      <c r="H16" t="s">
        <v>2</v>
      </c>
      <c r="I16" t="s">
        <v>1</v>
      </c>
      <c r="J16" t="s">
        <v>1</v>
      </c>
      <c r="K16" t="s">
        <v>1</v>
      </c>
      <c r="L16" t="s">
        <v>1</v>
      </c>
      <c r="M16" t="s">
        <v>195</v>
      </c>
      <c r="N16">
        <f>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f>
        <v>10</v>
      </c>
      <c r="O16" t="str" cm="1">
        <f t="array" ref="O16">_xlfn.LET(
_xlpm.DD,
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
_xlpm.Sensitivity,
_xlfn.XLOOKUP(tblVendorAssessment[[#This Row],[Information Sensitivity]],tblSensitivity[Level],tblSensitivity[Score]),
_xlpm.Total,
_xlpm.DD+_xlpm.Sensitivity,
_xlfn.IFS(
_xlpm.Total&gt;=15,"Low",
_xlpm.Total&gt;=11,"Medium",
_xlpm.Total&gt;=7,"High",
TRUE,"Critical"
))</f>
        <v>Medium</v>
      </c>
      <c r="P16" t="str" cm="1">
        <f t="array" ref="P16">_xlfn.IFS(
AND(tblVendorAssessment[[#This Row],[Overall Due Diligence Score]]&gt;=10,tblVendorAssessment[[#This Row],[Overall Risk Rating]]="Low"),"Strong",
AND(tblVendorAssessment[[#This Row],[Overall Due Diligence Score]]&gt;=10,OR(tblVendorAssessment[[#This Row],[Overall Risk Rating]]="Medium",tblVendorAssessment[[#This Row],[Overall Risk Rating]]="High",tblVendorAssessment[[#This Row],[Overall Risk Rating]]="Critical")),"Adequate",
AND(tblVendorAssessment[[#This Row],[Overall Due Diligence Score]]&gt;=7,tblVendorAssessment[[#This Row],[Overall Risk Rating]]="Low"),"Adequate",
AND(tblVendorAssessment[[#This Row],[Overall Due Diligence Score]]&gt;=7,tblVendorAssessment[[#This Row],[Overall Risk Rating]]="Medium"),"Moderate",
AND(tblVendorAssessment[[#This Row],[Overall Due Diligence Score]]&gt;=7,OR(tblVendorAssessment[[#This Row],[Overall Risk Rating]]="High",tblVendorAssessment[[#This Row],[Overall Risk Rating]]="Critical")),"Weak",
AND(tblVendorAssessment[[#This Row],[Overall Due Diligence Score]]&lt;7,tblVendorAssessment[[#This Row],[Overall Risk Rating]]="Low"),"Moderate",
TRUE,"Weak"
)</f>
        <v>Adequate</v>
      </c>
      <c r="Q16" t="str" cm="1">
        <f t="array" ref="Q16">_xlfn.IFS(
tblVendorAssessment[[#This Row],[Overall Control Effectiveness]]="Strong","Approve",
tblVendorAssessment[[#This Row],[Overall Control Effectiveness]]="Adequate","Approve with Monitoring",
tblVendorAssessment[[#This Row],[Overall Control Effectiveness]]="Moderate","Conditional Approval",
tblVendorAssessment[[#This Row],[Overall Control Effectiveness]]="Weak","Rejected"
)</f>
        <v>Approve with Monitoring</v>
      </c>
    </row>
    <row r="17" spans="1:17" x14ac:dyDescent="0.25">
      <c r="A17" t="s">
        <v>181</v>
      </c>
      <c r="B17" t="str">
        <f t="shared" si="0"/>
        <v>V016</v>
      </c>
      <c r="C17" t="str">
        <f>_xlfn.XLOOKUP(
tblVendorAssessment[[#This Row],[Vendor ID]],
tblVendorRegister[Vendor ID],
tblVendorRegister[Vendor Name]
)</f>
        <v>Dell Technologies</v>
      </c>
      <c r="D17" t="str">
        <f>_xlfn.XLOOKUP(
tblVendorAssessment[[#This Row],[Vendor ID]],
tblVendorRegister[Vendor ID],
tblVendorRegister[Service Category]
)</f>
        <v>End User Devices</v>
      </c>
      <c r="G17" t="s">
        <v>1</v>
      </c>
      <c r="H17" t="s">
        <v>1</v>
      </c>
      <c r="I17" t="s">
        <v>1</v>
      </c>
      <c r="J17" t="s">
        <v>1</v>
      </c>
      <c r="K17" t="s">
        <v>160</v>
      </c>
      <c r="L17" t="s">
        <v>1</v>
      </c>
      <c r="M17" t="s">
        <v>195</v>
      </c>
      <c r="N17">
        <f>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f>
        <v>11</v>
      </c>
      <c r="O17" t="str" cm="1">
        <f t="array" ref="O17">_xlfn.LET(
_xlpm.DD,
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
_xlpm.Sensitivity,
_xlfn.XLOOKUP(tblVendorAssessment[[#This Row],[Information Sensitivity]],tblSensitivity[Level],tblSensitivity[Score]),
_xlpm.Total,
_xlpm.DD+_xlpm.Sensitivity,
_xlfn.IFS(
_xlpm.Total&gt;=15,"Low",
_xlpm.Total&gt;=11,"Medium",
_xlpm.Total&gt;=7,"High",
TRUE,"Critical"
))</f>
        <v>Medium</v>
      </c>
      <c r="P17" t="str" cm="1">
        <f t="array" ref="P17">_xlfn.IFS(
AND(tblVendorAssessment[[#This Row],[Overall Due Diligence Score]]&gt;=10,tblVendorAssessment[[#This Row],[Overall Risk Rating]]="Low"),"Strong",
AND(tblVendorAssessment[[#This Row],[Overall Due Diligence Score]]&gt;=10,OR(tblVendorAssessment[[#This Row],[Overall Risk Rating]]="Medium",tblVendorAssessment[[#This Row],[Overall Risk Rating]]="High",tblVendorAssessment[[#This Row],[Overall Risk Rating]]="Critical")),"Adequate",
AND(tblVendorAssessment[[#This Row],[Overall Due Diligence Score]]&gt;=7,tblVendorAssessment[[#This Row],[Overall Risk Rating]]="Low"),"Adequate",
AND(tblVendorAssessment[[#This Row],[Overall Due Diligence Score]]&gt;=7,tblVendorAssessment[[#This Row],[Overall Risk Rating]]="Medium"),"Moderate",
AND(tblVendorAssessment[[#This Row],[Overall Due Diligence Score]]&gt;=7,OR(tblVendorAssessment[[#This Row],[Overall Risk Rating]]="High",tblVendorAssessment[[#This Row],[Overall Risk Rating]]="Critical")),"Weak",
AND(tblVendorAssessment[[#This Row],[Overall Due Diligence Score]]&lt;7,tblVendorAssessment[[#This Row],[Overall Risk Rating]]="Low"),"Moderate",
TRUE,"Weak"
)</f>
        <v>Adequate</v>
      </c>
      <c r="Q17" t="str" cm="1">
        <f t="array" ref="Q17">_xlfn.IFS(
tblVendorAssessment[[#This Row],[Overall Control Effectiveness]]="Strong","Approve",
tblVendorAssessment[[#This Row],[Overall Control Effectiveness]]="Adequate","Approve with Monitoring",
tblVendorAssessment[[#This Row],[Overall Control Effectiveness]]="Moderate","Conditional Approval",
tblVendorAssessment[[#This Row],[Overall Control Effectiveness]]="Weak","Rejected"
)</f>
        <v>Approve with Monitoring</v>
      </c>
    </row>
    <row r="18" spans="1:17" x14ac:dyDescent="0.25">
      <c r="A18" t="s">
        <v>182</v>
      </c>
      <c r="B18" t="str">
        <f t="shared" si="0"/>
        <v>V017</v>
      </c>
      <c r="C18" t="str">
        <f>_xlfn.XLOOKUP(
tblVendorAssessment[[#This Row],[Vendor ID]],
tblVendorRegister[Vendor ID],
tblVendorRegister[Vendor Name]
)</f>
        <v>Canon Nigeria</v>
      </c>
      <c r="D18" t="str">
        <f>_xlfn.XLOOKUP(
tblVendorAssessment[[#This Row],[Vendor ID]],
tblVendorRegister[Vendor ID],
tblVendorRegister[Service Category]
)</f>
        <v>Printing Services</v>
      </c>
      <c r="G18" t="s">
        <v>1</v>
      </c>
      <c r="H18" t="s">
        <v>160</v>
      </c>
      <c r="I18" t="s">
        <v>1</v>
      </c>
      <c r="J18" t="s">
        <v>160</v>
      </c>
      <c r="K18" t="s">
        <v>1</v>
      </c>
      <c r="L18" t="s">
        <v>1</v>
      </c>
      <c r="M18" t="s">
        <v>195</v>
      </c>
      <c r="N18">
        <f>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f>
        <v>10</v>
      </c>
      <c r="O18" t="str" cm="1">
        <f t="array" ref="O18">_xlfn.LET(
_xlpm.DD,
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
_xlpm.Sensitivity,
_xlfn.XLOOKUP(tblVendorAssessment[[#This Row],[Information Sensitivity]],tblSensitivity[Level],tblSensitivity[Score]),
_xlpm.Total,
_xlpm.DD+_xlpm.Sensitivity,
_xlfn.IFS(
_xlpm.Total&gt;=15,"Low",
_xlpm.Total&gt;=11,"Medium",
_xlpm.Total&gt;=7,"High",
TRUE,"Critical"
))</f>
        <v>Medium</v>
      </c>
      <c r="P18" t="str" cm="1">
        <f t="array" ref="P18">_xlfn.IFS(
AND(tblVendorAssessment[[#This Row],[Overall Due Diligence Score]]&gt;=10,tblVendorAssessment[[#This Row],[Overall Risk Rating]]="Low"),"Strong",
AND(tblVendorAssessment[[#This Row],[Overall Due Diligence Score]]&gt;=10,OR(tblVendorAssessment[[#This Row],[Overall Risk Rating]]="Medium",tblVendorAssessment[[#This Row],[Overall Risk Rating]]="High",tblVendorAssessment[[#This Row],[Overall Risk Rating]]="Critical")),"Adequate",
AND(tblVendorAssessment[[#This Row],[Overall Due Diligence Score]]&gt;=7,tblVendorAssessment[[#This Row],[Overall Risk Rating]]="Low"),"Adequate",
AND(tblVendorAssessment[[#This Row],[Overall Due Diligence Score]]&gt;=7,tblVendorAssessment[[#This Row],[Overall Risk Rating]]="Medium"),"Moderate",
AND(tblVendorAssessment[[#This Row],[Overall Due Diligence Score]]&gt;=7,OR(tblVendorAssessment[[#This Row],[Overall Risk Rating]]="High",tblVendorAssessment[[#This Row],[Overall Risk Rating]]="Critical")),"Weak",
AND(tblVendorAssessment[[#This Row],[Overall Due Diligence Score]]&lt;7,tblVendorAssessment[[#This Row],[Overall Risk Rating]]="Low"),"Moderate",
TRUE,"Weak"
)</f>
        <v>Adequate</v>
      </c>
      <c r="Q18" t="str" cm="1">
        <f t="array" ref="Q18">_xlfn.IFS(
tblVendorAssessment[[#This Row],[Overall Control Effectiveness]]="Strong","Approve",
tblVendorAssessment[[#This Row],[Overall Control Effectiveness]]="Adequate","Approve with Monitoring",
tblVendorAssessment[[#This Row],[Overall Control Effectiveness]]="Moderate","Conditional Approval",
tblVendorAssessment[[#This Row],[Overall Control Effectiveness]]="Weak","Rejected"
)</f>
        <v>Approve with Monitoring</v>
      </c>
    </row>
    <row r="19" spans="1:17" x14ac:dyDescent="0.25">
      <c r="A19" t="s">
        <v>183</v>
      </c>
      <c r="B19" t="str">
        <f t="shared" si="0"/>
        <v>V018</v>
      </c>
      <c r="C19" t="str">
        <f>_xlfn.XLOOKUP(
tblVendorAssessment[[#This Row],[Vendor ID]],
tblVendorRegister[Vendor ID],
tblVendorRegister[Vendor Name]
)</f>
        <v>DocuSign</v>
      </c>
      <c r="D19" t="str">
        <f>_xlfn.XLOOKUP(
tblVendorAssessment[[#This Row],[Vendor ID]],
tblVendorRegister[Vendor ID],
tblVendorRegister[Service Category]
)</f>
        <v>Electronic Signature</v>
      </c>
      <c r="G19" t="s">
        <v>1</v>
      </c>
      <c r="H19" t="s">
        <v>1</v>
      </c>
      <c r="I19" t="s">
        <v>1</v>
      </c>
      <c r="J19" t="s">
        <v>1</v>
      </c>
      <c r="K19" t="s">
        <v>1</v>
      </c>
      <c r="L19" t="s">
        <v>2</v>
      </c>
      <c r="M19" t="s">
        <v>195</v>
      </c>
      <c r="N19">
        <f>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f>
        <v>10</v>
      </c>
      <c r="O19" t="str" cm="1">
        <f t="array" ref="O19">_xlfn.LET(
_xlpm.DD,
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
_xlpm.Sensitivity,
_xlfn.XLOOKUP(tblVendorAssessment[[#This Row],[Information Sensitivity]],tblSensitivity[Level],tblSensitivity[Score]),
_xlpm.Total,
_xlpm.DD+_xlpm.Sensitivity,
_xlfn.IFS(
_xlpm.Total&gt;=15,"Low",
_xlpm.Total&gt;=11,"Medium",
_xlpm.Total&gt;=7,"High",
TRUE,"Critical"
))</f>
        <v>Medium</v>
      </c>
      <c r="P19" t="str" cm="1">
        <f t="array" ref="P19">_xlfn.IFS(
AND(tblVendorAssessment[[#This Row],[Overall Due Diligence Score]]&gt;=10,tblVendorAssessment[[#This Row],[Overall Risk Rating]]="Low"),"Strong",
AND(tblVendorAssessment[[#This Row],[Overall Due Diligence Score]]&gt;=10,OR(tblVendorAssessment[[#This Row],[Overall Risk Rating]]="Medium",tblVendorAssessment[[#This Row],[Overall Risk Rating]]="High",tblVendorAssessment[[#This Row],[Overall Risk Rating]]="Critical")),"Adequate",
AND(tblVendorAssessment[[#This Row],[Overall Due Diligence Score]]&gt;=7,tblVendorAssessment[[#This Row],[Overall Risk Rating]]="Low"),"Adequate",
AND(tblVendorAssessment[[#This Row],[Overall Due Diligence Score]]&gt;=7,tblVendorAssessment[[#This Row],[Overall Risk Rating]]="Medium"),"Moderate",
AND(tblVendorAssessment[[#This Row],[Overall Due Diligence Score]]&gt;=7,OR(tblVendorAssessment[[#This Row],[Overall Risk Rating]]="High",tblVendorAssessment[[#This Row],[Overall Risk Rating]]="Critical")),"Weak",
AND(tblVendorAssessment[[#This Row],[Overall Due Diligence Score]]&lt;7,tblVendorAssessment[[#This Row],[Overall Risk Rating]]="Low"),"Moderate",
TRUE,"Weak"
)</f>
        <v>Adequate</v>
      </c>
      <c r="Q19" t="str" cm="1">
        <f t="array" ref="Q19">_xlfn.IFS(
tblVendorAssessment[[#This Row],[Overall Control Effectiveness]]="Strong","Approve",
tblVendorAssessment[[#This Row],[Overall Control Effectiveness]]="Adequate","Approve with Monitoring",
tblVendorAssessment[[#This Row],[Overall Control Effectiveness]]="Moderate","Conditional Approval",
tblVendorAssessment[[#This Row],[Overall Control Effectiveness]]="Weak","Rejected"
)</f>
        <v>Approve with Monitoring</v>
      </c>
    </row>
    <row r="20" spans="1:17" x14ac:dyDescent="0.25">
      <c r="A20" t="s">
        <v>184</v>
      </c>
      <c r="B20" t="str">
        <f t="shared" si="0"/>
        <v>V019</v>
      </c>
      <c r="C20" t="str">
        <f>_xlfn.XLOOKUP(
tblVendorAssessment[[#This Row],[Vendor ID]],
tblVendorRegister[Vendor ID],
tblVendorRegister[Vendor Name]
)</f>
        <v>SendGrid</v>
      </c>
      <c r="D20" t="str">
        <f>_xlfn.XLOOKUP(
tblVendorAssessment[[#This Row],[Vendor ID]],
tblVendorRegister[Vendor ID],
tblVendorRegister[Service Category]
)</f>
        <v>Email Services</v>
      </c>
      <c r="G20" t="s">
        <v>1</v>
      </c>
      <c r="H20" t="s">
        <v>1</v>
      </c>
      <c r="I20" t="s">
        <v>1</v>
      </c>
      <c r="J20" t="s">
        <v>1</v>
      </c>
      <c r="K20" t="s">
        <v>1</v>
      </c>
      <c r="L20" t="s">
        <v>1</v>
      </c>
      <c r="M20" t="s">
        <v>195</v>
      </c>
      <c r="N20">
        <f>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f>
        <v>12</v>
      </c>
      <c r="O20" t="str" cm="1">
        <f t="array" ref="O20">_xlfn.LET(
_xlpm.DD,
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
_xlpm.Sensitivity,
_xlfn.XLOOKUP(tblVendorAssessment[[#This Row],[Information Sensitivity]],tblSensitivity[Level],tblSensitivity[Score]),
_xlpm.Total,
_xlpm.DD+_xlpm.Sensitivity,
_xlfn.IFS(
_xlpm.Total&gt;=15,"Low",
_xlpm.Total&gt;=11,"Medium",
_xlpm.Total&gt;=7,"High",
TRUE,"Critical"
))</f>
        <v>Low</v>
      </c>
      <c r="P20" t="str" cm="1">
        <f t="array" ref="P20">_xlfn.IFS(
AND(tblVendorAssessment[[#This Row],[Overall Due Diligence Score]]&gt;=10,tblVendorAssessment[[#This Row],[Overall Risk Rating]]="Low"),"Strong",
AND(tblVendorAssessment[[#This Row],[Overall Due Diligence Score]]&gt;=10,OR(tblVendorAssessment[[#This Row],[Overall Risk Rating]]="Medium",tblVendorAssessment[[#This Row],[Overall Risk Rating]]="High",tblVendorAssessment[[#This Row],[Overall Risk Rating]]="Critical")),"Adequate",
AND(tblVendorAssessment[[#This Row],[Overall Due Diligence Score]]&gt;=7,tblVendorAssessment[[#This Row],[Overall Risk Rating]]="Low"),"Adequate",
AND(tblVendorAssessment[[#This Row],[Overall Due Diligence Score]]&gt;=7,tblVendorAssessment[[#This Row],[Overall Risk Rating]]="Medium"),"Moderate",
AND(tblVendorAssessment[[#This Row],[Overall Due Diligence Score]]&gt;=7,OR(tblVendorAssessment[[#This Row],[Overall Risk Rating]]="High",tblVendorAssessment[[#This Row],[Overall Risk Rating]]="Critical")),"Weak",
AND(tblVendorAssessment[[#This Row],[Overall Due Diligence Score]]&lt;7,tblVendorAssessment[[#This Row],[Overall Risk Rating]]="Low"),"Moderate",
TRUE,"Weak"
)</f>
        <v>Strong</v>
      </c>
      <c r="Q20" t="str" cm="1">
        <f t="array" ref="Q20">_xlfn.IFS(
tblVendorAssessment[[#This Row],[Overall Control Effectiveness]]="Strong","Approve",
tblVendorAssessment[[#This Row],[Overall Control Effectiveness]]="Adequate","Approve with Monitoring",
tblVendorAssessment[[#This Row],[Overall Control Effectiveness]]="Moderate","Conditional Approval",
tblVendorAssessment[[#This Row],[Overall Control Effectiveness]]="Weak","Rejected"
)</f>
        <v>Approve</v>
      </c>
    </row>
    <row r="21" spans="1:17" x14ac:dyDescent="0.25">
      <c r="A21" t="s">
        <v>185</v>
      </c>
      <c r="B21" t="str">
        <f t="shared" si="0"/>
        <v>V020</v>
      </c>
      <c r="C21" t="str">
        <f>_xlfn.XLOOKUP(
tblVendorAssessment[[#This Row],[Vendor ID]],
tblVendorRegister[Vendor ID],
tblVendorRegister[Vendor Name]
)</f>
        <v>GitHub Enterprise</v>
      </c>
      <c r="D21" t="str">
        <f>_xlfn.XLOOKUP(
tblVendorAssessment[[#This Row],[Vendor ID]],
tblVendorRegister[Vendor ID],
tblVendorRegister[Service Category]
)</f>
        <v>Source Code Management</v>
      </c>
      <c r="G21" t="s">
        <v>160</v>
      </c>
      <c r="H21" t="s">
        <v>1</v>
      </c>
      <c r="I21" t="s">
        <v>1</v>
      </c>
      <c r="J21" t="s">
        <v>1</v>
      </c>
      <c r="K21" t="s">
        <v>1</v>
      </c>
      <c r="L21" t="s">
        <v>1</v>
      </c>
      <c r="M21" t="s">
        <v>195</v>
      </c>
      <c r="N21">
        <f>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f>
        <v>11</v>
      </c>
      <c r="O21" t="str" cm="1">
        <f t="array" ref="O21">_xlfn.LET(
_xlpm.DD,
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
_xlpm.Sensitivity,
_xlfn.XLOOKUP(tblVendorAssessment[[#This Row],[Information Sensitivity]],tblSensitivity[Level],tblSensitivity[Score]),
_xlpm.Total,
_xlpm.DD+_xlpm.Sensitivity,
_xlfn.IFS(
_xlpm.Total&gt;=15,"Low",
_xlpm.Total&gt;=11,"Medium",
_xlpm.Total&gt;=7,"High",
TRUE,"Critical"
))</f>
        <v>Medium</v>
      </c>
      <c r="P21" t="str" cm="1">
        <f t="array" ref="P21">_xlfn.IFS(
AND(tblVendorAssessment[[#This Row],[Overall Due Diligence Score]]&gt;=10,tblVendorAssessment[[#This Row],[Overall Risk Rating]]="Low"),"Strong",
AND(tblVendorAssessment[[#This Row],[Overall Due Diligence Score]]&gt;=10,OR(tblVendorAssessment[[#This Row],[Overall Risk Rating]]="Medium",tblVendorAssessment[[#This Row],[Overall Risk Rating]]="High",tblVendorAssessment[[#This Row],[Overall Risk Rating]]="Critical")),"Adequate",
AND(tblVendorAssessment[[#This Row],[Overall Due Diligence Score]]&gt;=7,tblVendorAssessment[[#This Row],[Overall Risk Rating]]="Low"),"Adequate",
AND(tblVendorAssessment[[#This Row],[Overall Due Diligence Score]]&gt;=7,tblVendorAssessment[[#This Row],[Overall Risk Rating]]="Medium"),"Moderate",
AND(tblVendorAssessment[[#This Row],[Overall Due Diligence Score]]&gt;=7,OR(tblVendorAssessment[[#This Row],[Overall Risk Rating]]="High",tblVendorAssessment[[#This Row],[Overall Risk Rating]]="Critical")),"Weak",
AND(tblVendorAssessment[[#This Row],[Overall Due Diligence Score]]&lt;7,tblVendorAssessment[[#This Row],[Overall Risk Rating]]="Low"),"Moderate",
TRUE,"Weak"
)</f>
        <v>Adequate</v>
      </c>
      <c r="Q21" t="str" cm="1">
        <f t="array" ref="Q21">_xlfn.IFS(
tblVendorAssessment[[#This Row],[Overall Control Effectiveness]]="Strong","Approve",
tblVendorAssessment[[#This Row],[Overall Control Effectiveness]]="Adequate","Approve with Monitoring",
tblVendorAssessment[[#This Row],[Overall Control Effectiveness]]="Moderate","Conditional Approval",
tblVendorAssessment[[#This Row],[Overall Control Effectiveness]]="Weak","Rejected"
)</f>
        <v>Approve with Monitoring</v>
      </c>
    </row>
    <row r="22" spans="1:17" x14ac:dyDescent="0.25">
      <c r="A22" t="s">
        <v>186</v>
      </c>
      <c r="B22" t="str">
        <f t="shared" si="0"/>
        <v>V021</v>
      </c>
      <c r="C22" t="str">
        <f>_xlfn.XLOOKUP(
tblVendorAssessment[[#This Row],[Vendor ID]],
tblVendorRegister[Vendor ID],
tblVendorRegister[Vendor Name]
)</f>
        <v>Oracle Cloud</v>
      </c>
      <c r="D22" t="str">
        <f>_xlfn.XLOOKUP(
tblVendorAssessment[[#This Row],[Vendor ID]],
tblVendorRegister[Vendor ID],
tblVendorRegister[Service Category]
)</f>
        <v>Database Services</v>
      </c>
      <c r="G22" t="s">
        <v>1</v>
      </c>
      <c r="H22" t="s">
        <v>1</v>
      </c>
      <c r="I22" t="s">
        <v>1</v>
      </c>
      <c r="J22" t="s">
        <v>1</v>
      </c>
      <c r="K22" t="s">
        <v>1</v>
      </c>
      <c r="L22" t="s">
        <v>2</v>
      </c>
      <c r="M22" t="s">
        <v>194</v>
      </c>
      <c r="N22">
        <f>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f>
        <v>10</v>
      </c>
      <c r="O22" t="str" cm="1">
        <f t="array" ref="O22">_xlfn.LET(
_xlpm.DD,
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
_xlpm.Sensitivity,
_xlfn.XLOOKUP(tblVendorAssessment[[#This Row],[Information Sensitivity]],tblSensitivity[Level],tblSensitivity[Score]),
_xlpm.Total,
_xlpm.DD+_xlpm.Sensitivity,
_xlfn.IFS(
_xlpm.Total&gt;=15,"Low",
_xlpm.Total&gt;=11,"Medium",
_xlpm.Total&gt;=7,"High",
TRUE,"Critical"
))</f>
        <v>Medium</v>
      </c>
      <c r="P22" t="str" cm="1">
        <f t="array" ref="P22">_xlfn.IFS(
AND(tblVendorAssessment[[#This Row],[Overall Due Diligence Score]]&gt;=10,tblVendorAssessment[[#This Row],[Overall Risk Rating]]="Low"),"Strong",
AND(tblVendorAssessment[[#This Row],[Overall Due Diligence Score]]&gt;=10,OR(tblVendorAssessment[[#This Row],[Overall Risk Rating]]="Medium",tblVendorAssessment[[#This Row],[Overall Risk Rating]]="High",tblVendorAssessment[[#This Row],[Overall Risk Rating]]="Critical")),"Adequate",
AND(tblVendorAssessment[[#This Row],[Overall Due Diligence Score]]&gt;=7,tblVendorAssessment[[#This Row],[Overall Risk Rating]]="Low"),"Adequate",
AND(tblVendorAssessment[[#This Row],[Overall Due Diligence Score]]&gt;=7,tblVendorAssessment[[#This Row],[Overall Risk Rating]]="Medium"),"Moderate",
AND(tblVendorAssessment[[#This Row],[Overall Due Diligence Score]]&gt;=7,OR(tblVendorAssessment[[#This Row],[Overall Risk Rating]]="High",tblVendorAssessment[[#This Row],[Overall Risk Rating]]="Critical")),"Weak",
AND(tblVendorAssessment[[#This Row],[Overall Due Diligence Score]]&lt;7,tblVendorAssessment[[#This Row],[Overall Risk Rating]]="Low"),"Moderate",
TRUE,"Weak"
)</f>
        <v>Adequate</v>
      </c>
      <c r="Q22" t="str" cm="1">
        <f t="array" ref="Q22">_xlfn.IFS(
tblVendorAssessment[[#This Row],[Overall Control Effectiveness]]="Strong","Approve",
tblVendorAssessment[[#This Row],[Overall Control Effectiveness]]="Adequate","Approve with Monitoring",
tblVendorAssessment[[#This Row],[Overall Control Effectiveness]]="Moderate","Conditional Approval",
tblVendorAssessment[[#This Row],[Overall Control Effectiveness]]="Weak","Rejected"
)</f>
        <v>Approve with Monitoring</v>
      </c>
    </row>
    <row r="23" spans="1:17" x14ac:dyDescent="0.25">
      <c r="A23" t="s">
        <v>187</v>
      </c>
      <c r="B23" t="str">
        <f t="shared" si="0"/>
        <v>V022</v>
      </c>
      <c r="C23" t="str">
        <f>_xlfn.XLOOKUP(
tblVendorAssessment[[#This Row],[Vendor ID]],
tblVendorRegister[Vendor ID],
tblVendorRegister[Vendor Name]
)</f>
        <v>Zoho</v>
      </c>
      <c r="D23" t="str">
        <f>_xlfn.XLOOKUP(
tblVendorAssessment[[#This Row],[Vendor ID]],
tblVendorRegister[Vendor ID],
tblVendorRegister[Service Category]
)</f>
        <v>CRM Platform</v>
      </c>
      <c r="G23" t="s">
        <v>1</v>
      </c>
      <c r="H23" t="s">
        <v>1</v>
      </c>
      <c r="I23" t="s">
        <v>1</v>
      </c>
      <c r="J23" t="s">
        <v>1</v>
      </c>
      <c r="K23" t="s">
        <v>2</v>
      </c>
      <c r="L23" t="s">
        <v>1</v>
      </c>
      <c r="M23" t="s">
        <v>195</v>
      </c>
      <c r="N23">
        <f>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f>
        <v>10</v>
      </c>
      <c r="O23" t="str" cm="1">
        <f t="array" ref="O23">_xlfn.LET(
_xlpm.DD,
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
_xlpm.Sensitivity,
_xlfn.XLOOKUP(tblVendorAssessment[[#This Row],[Information Sensitivity]],tblSensitivity[Level],tblSensitivity[Score]),
_xlpm.Total,
_xlpm.DD+_xlpm.Sensitivity,
_xlfn.IFS(
_xlpm.Total&gt;=15,"Low",
_xlpm.Total&gt;=11,"Medium",
_xlpm.Total&gt;=7,"High",
TRUE,"Critical"
))</f>
        <v>Medium</v>
      </c>
      <c r="P23" t="str" cm="1">
        <f t="array" ref="P23">_xlfn.IFS(
AND(tblVendorAssessment[[#This Row],[Overall Due Diligence Score]]&gt;=10,tblVendorAssessment[[#This Row],[Overall Risk Rating]]="Low"),"Strong",
AND(tblVendorAssessment[[#This Row],[Overall Due Diligence Score]]&gt;=10,OR(tblVendorAssessment[[#This Row],[Overall Risk Rating]]="Medium",tblVendorAssessment[[#This Row],[Overall Risk Rating]]="High",tblVendorAssessment[[#This Row],[Overall Risk Rating]]="Critical")),"Adequate",
AND(tblVendorAssessment[[#This Row],[Overall Due Diligence Score]]&gt;=7,tblVendorAssessment[[#This Row],[Overall Risk Rating]]="Low"),"Adequate",
AND(tblVendorAssessment[[#This Row],[Overall Due Diligence Score]]&gt;=7,tblVendorAssessment[[#This Row],[Overall Risk Rating]]="Medium"),"Moderate",
AND(tblVendorAssessment[[#This Row],[Overall Due Diligence Score]]&gt;=7,OR(tblVendorAssessment[[#This Row],[Overall Risk Rating]]="High",tblVendorAssessment[[#This Row],[Overall Risk Rating]]="Critical")),"Weak",
AND(tblVendorAssessment[[#This Row],[Overall Due Diligence Score]]&lt;7,tblVendorAssessment[[#This Row],[Overall Risk Rating]]="Low"),"Moderate",
TRUE,"Weak"
)</f>
        <v>Adequate</v>
      </c>
      <c r="Q23" t="str" cm="1">
        <f t="array" ref="Q23">_xlfn.IFS(
tblVendorAssessment[[#This Row],[Overall Control Effectiveness]]="Strong","Approve",
tblVendorAssessment[[#This Row],[Overall Control Effectiveness]]="Adequate","Approve with Monitoring",
tblVendorAssessment[[#This Row],[Overall Control Effectiveness]]="Moderate","Conditional Approval",
tblVendorAssessment[[#This Row],[Overall Control Effectiveness]]="Weak","Rejected"
)</f>
        <v>Approve with Monitoring</v>
      </c>
    </row>
    <row r="24" spans="1:17" x14ac:dyDescent="0.25">
      <c r="A24" t="s">
        <v>188</v>
      </c>
      <c r="B24" t="str">
        <f t="shared" si="0"/>
        <v>V023</v>
      </c>
      <c r="C24" t="str">
        <f>_xlfn.XLOOKUP(
tblVendorAssessment[[#This Row],[Vendor ID]],
tblVendorRegister[Vendor ID],
tblVendorRegister[Vendor Name]
)</f>
        <v>SAP</v>
      </c>
      <c r="D24" t="str">
        <f>_xlfn.XLOOKUP(
tblVendorAssessment[[#This Row],[Vendor ID]],
tblVendorRegister[Vendor ID],
tblVendorRegister[Service Category]
)</f>
        <v>ERP Platform</v>
      </c>
      <c r="G24" t="s">
        <v>1</v>
      </c>
      <c r="H24" t="s">
        <v>2</v>
      </c>
      <c r="I24" t="s">
        <v>1</v>
      </c>
      <c r="J24" t="s">
        <v>1</v>
      </c>
      <c r="K24" t="s">
        <v>1</v>
      </c>
      <c r="L24" t="s">
        <v>1</v>
      </c>
      <c r="M24" t="s">
        <v>195</v>
      </c>
      <c r="N24">
        <f>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f>
        <v>10</v>
      </c>
      <c r="O24" t="str" cm="1">
        <f t="array" ref="O24">_xlfn.LET(
_xlpm.DD,
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
_xlpm.Sensitivity,
_xlfn.XLOOKUP(tblVendorAssessment[[#This Row],[Information Sensitivity]],tblSensitivity[Level],tblSensitivity[Score]),
_xlpm.Total,
_xlpm.DD+_xlpm.Sensitivity,
_xlfn.IFS(
_xlpm.Total&gt;=15,"Low",
_xlpm.Total&gt;=11,"Medium",
_xlpm.Total&gt;=7,"High",
TRUE,"Critical"
))</f>
        <v>Medium</v>
      </c>
      <c r="P24" t="str" cm="1">
        <f t="array" ref="P24">_xlfn.IFS(
AND(tblVendorAssessment[[#This Row],[Overall Due Diligence Score]]&gt;=10,tblVendorAssessment[[#This Row],[Overall Risk Rating]]="Low"),"Strong",
AND(tblVendorAssessment[[#This Row],[Overall Due Diligence Score]]&gt;=10,OR(tblVendorAssessment[[#This Row],[Overall Risk Rating]]="Medium",tblVendorAssessment[[#This Row],[Overall Risk Rating]]="High",tblVendorAssessment[[#This Row],[Overall Risk Rating]]="Critical")),"Adequate",
AND(tblVendorAssessment[[#This Row],[Overall Due Diligence Score]]&gt;=7,tblVendorAssessment[[#This Row],[Overall Risk Rating]]="Low"),"Adequate",
AND(tblVendorAssessment[[#This Row],[Overall Due Diligence Score]]&gt;=7,tblVendorAssessment[[#This Row],[Overall Risk Rating]]="Medium"),"Moderate",
AND(tblVendorAssessment[[#This Row],[Overall Due Diligence Score]]&gt;=7,OR(tblVendorAssessment[[#This Row],[Overall Risk Rating]]="High",tblVendorAssessment[[#This Row],[Overall Risk Rating]]="Critical")),"Weak",
AND(tblVendorAssessment[[#This Row],[Overall Due Diligence Score]]&lt;7,tblVendorAssessment[[#This Row],[Overall Risk Rating]]="Low"),"Moderate",
TRUE,"Weak"
)</f>
        <v>Adequate</v>
      </c>
      <c r="Q24" t="str" cm="1">
        <f t="array" ref="Q24">_xlfn.IFS(
tblVendorAssessment[[#This Row],[Overall Control Effectiveness]]="Strong","Approve",
tblVendorAssessment[[#This Row],[Overall Control Effectiveness]]="Adequate","Approve with Monitoring",
tblVendorAssessment[[#This Row],[Overall Control Effectiveness]]="Moderate","Conditional Approval",
tblVendorAssessment[[#This Row],[Overall Control Effectiveness]]="Weak","Rejected"
)</f>
        <v>Approve with Monitoring</v>
      </c>
    </row>
    <row r="25" spans="1:17" x14ac:dyDescent="0.25">
      <c r="A25" t="s">
        <v>189</v>
      </c>
      <c r="B25" t="str">
        <f t="shared" si="0"/>
        <v>V024</v>
      </c>
      <c r="C25" t="str">
        <f>_xlfn.XLOOKUP(
tblVendorAssessment[[#This Row],[Vendor ID]],
tblVendorRegister[Vendor ID],
tblVendorRegister[Vendor Name]
)</f>
        <v>MedData Solutions</v>
      </c>
      <c r="D25" t="str">
        <f>_xlfn.XLOOKUP(
tblVendorAssessment[[#This Row],[Vendor ID]],
tblVendorRegister[Vendor ID],
tblVendorRegister[Service Category]
)</f>
        <v>Electronic Medical Records</v>
      </c>
      <c r="G25" t="s">
        <v>1</v>
      </c>
      <c r="H25" t="s">
        <v>1</v>
      </c>
      <c r="I25" t="s">
        <v>1</v>
      </c>
      <c r="J25" t="s">
        <v>160</v>
      </c>
      <c r="K25" t="s">
        <v>1</v>
      </c>
      <c r="L25" t="s">
        <v>1</v>
      </c>
      <c r="M25" t="s">
        <v>195</v>
      </c>
      <c r="N25">
        <f>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f>
        <v>11</v>
      </c>
      <c r="O25" t="str" cm="1">
        <f t="array" ref="O25">_xlfn.LET(
_xlpm.DD,
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
_xlpm.Sensitivity,
_xlfn.XLOOKUP(tblVendorAssessment[[#This Row],[Information Sensitivity]],tblSensitivity[Level],tblSensitivity[Score]),
_xlpm.Total,
_xlpm.DD+_xlpm.Sensitivity,
_xlfn.IFS(
_xlpm.Total&gt;=15,"Low",
_xlpm.Total&gt;=11,"Medium",
_xlpm.Total&gt;=7,"High",
TRUE,"Critical"
))</f>
        <v>Medium</v>
      </c>
      <c r="P25" t="str" cm="1">
        <f t="array" ref="P25">_xlfn.IFS(
AND(tblVendorAssessment[[#This Row],[Overall Due Diligence Score]]&gt;=10,tblVendorAssessment[[#This Row],[Overall Risk Rating]]="Low"),"Strong",
AND(tblVendorAssessment[[#This Row],[Overall Due Diligence Score]]&gt;=10,OR(tblVendorAssessment[[#This Row],[Overall Risk Rating]]="Medium",tblVendorAssessment[[#This Row],[Overall Risk Rating]]="High",tblVendorAssessment[[#This Row],[Overall Risk Rating]]="Critical")),"Adequate",
AND(tblVendorAssessment[[#This Row],[Overall Due Diligence Score]]&gt;=7,tblVendorAssessment[[#This Row],[Overall Risk Rating]]="Low"),"Adequate",
AND(tblVendorAssessment[[#This Row],[Overall Due Diligence Score]]&gt;=7,tblVendorAssessment[[#This Row],[Overall Risk Rating]]="Medium"),"Moderate",
AND(tblVendorAssessment[[#This Row],[Overall Due Diligence Score]]&gt;=7,OR(tblVendorAssessment[[#This Row],[Overall Risk Rating]]="High",tblVendorAssessment[[#This Row],[Overall Risk Rating]]="Critical")),"Weak",
AND(tblVendorAssessment[[#This Row],[Overall Due Diligence Score]]&lt;7,tblVendorAssessment[[#This Row],[Overall Risk Rating]]="Low"),"Moderate",
TRUE,"Weak"
)</f>
        <v>Adequate</v>
      </c>
      <c r="Q25" t="str" cm="1">
        <f t="array" ref="Q25">_xlfn.IFS(
tblVendorAssessment[[#This Row],[Overall Control Effectiveness]]="Strong","Approve",
tblVendorAssessment[[#This Row],[Overall Control Effectiveness]]="Adequate","Approve with Monitoring",
tblVendorAssessment[[#This Row],[Overall Control Effectiveness]]="Moderate","Conditional Approval",
tblVendorAssessment[[#This Row],[Overall Control Effectiveness]]="Weak","Rejected"
)</f>
        <v>Approve with Monitoring</v>
      </c>
    </row>
    <row r="26" spans="1:17" x14ac:dyDescent="0.25">
      <c r="A26" t="s">
        <v>190</v>
      </c>
      <c r="B26" t="str">
        <f t="shared" si="0"/>
        <v>V025</v>
      </c>
      <c r="C26" t="str">
        <f>_xlfn.XLOOKUP(
tblVendorAssessment[[#This Row],[Vendor ID]],
tblVendorRegister[Vendor ID],
tblVendorRegister[Vendor Name]
)</f>
        <v>SecureShred Ltd</v>
      </c>
      <c r="D26" t="str">
        <f>_xlfn.XLOOKUP(
tblVendorAssessment[[#This Row],[Vendor ID]],
tblVendorRegister[Vendor ID],
tblVendorRegister[Service Category]
)</f>
        <v>Secure Document Disposal</v>
      </c>
      <c r="G26" t="s">
        <v>1</v>
      </c>
      <c r="H26" t="s">
        <v>1</v>
      </c>
      <c r="I26" t="s">
        <v>1</v>
      </c>
      <c r="J26" t="s">
        <v>1</v>
      </c>
      <c r="K26" t="s">
        <v>1</v>
      </c>
      <c r="L26" t="s">
        <v>1</v>
      </c>
      <c r="M26" t="s">
        <v>195</v>
      </c>
      <c r="N26">
        <f>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f>
        <v>12</v>
      </c>
      <c r="O26" t="str" cm="1">
        <f t="array" ref="O26">_xlfn.LET(
_xlpm.DD,
SUM(
_xlfn.XLOOKUP(tblVendorAssessment[[#This Row],[Information Security]],tblDueDiligenceLookup[Response],tblDueDiligenceLookup[Score]),
_xlfn.XLOOKUP(tblVendorAssessment[[#This Row],[Privacy Compliance]],tblDueDiligenceLookup[Response],tblDueDiligenceLookup[Score]),
_xlfn.XLOOKUP(tblVendorAssessment[[#This Row],[Legal &amp; Regulatory Compliance]],tblDueDiligenceLookup[Response],tblDueDiligenceLookup[Score]),
_xlfn.XLOOKUP(tblVendorAssessment[[#This Row],[Business Continuity]],tblDueDiligenceLookup[Response],tblDueDiligenceLookup[Score]),
_xlfn.XLOOKUP(tblVendorAssessment[[#This Row],[Financial Stability]],tblDueDiligenceLookup[Response],tblDueDiligenceLookup[Score]),
_xlfn.XLOOKUP(tblVendorAssessment[[#This Row],[Fourth-Party Management]],tblDueDiligenceLookup[Response],tblDueDiligenceLookup[Score])
),
_xlpm.Sensitivity,
_xlfn.XLOOKUP(tblVendorAssessment[[#This Row],[Information Sensitivity]],tblSensitivity[Level],tblSensitivity[Score]),
_xlpm.Total,
_xlpm.DD+_xlpm.Sensitivity,
_xlfn.IFS(
_xlpm.Total&gt;=15,"Low",
_xlpm.Total&gt;=11,"Medium",
_xlpm.Total&gt;=7,"High",
TRUE,"Critical"
))</f>
        <v>Low</v>
      </c>
      <c r="P26" t="str" cm="1">
        <f t="array" ref="P26">_xlfn.IFS(
AND(tblVendorAssessment[[#This Row],[Overall Due Diligence Score]]&gt;=10,tblVendorAssessment[[#This Row],[Overall Risk Rating]]="Low"),"Strong",
AND(tblVendorAssessment[[#This Row],[Overall Due Diligence Score]]&gt;=10,OR(tblVendorAssessment[[#This Row],[Overall Risk Rating]]="Medium",tblVendorAssessment[[#This Row],[Overall Risk Rating]]="High",tblVendorAssessment[[#This Row],[Overall Risk Rating]]="Critical")),"Adequate",
AND(tblVendorAssessment[[#This Row],[Overall Due Diligence Score]]&gt;=7,tblVendorAssessment[[#This Row],[Overall Risk Rating]]="Low"),"Adequate",
AND(tblVendorAssessment[[#This Row],[Overall Due Diligence Score]]&gt;=7,tblVendorAssessment[[#This Row],[Overall Risk Rating]]="Medium"),"Moderate",
AND(tblVendorAssessment[[#This Row],[Overall Due Diligence Score]]&gt;=7,OR(tblVendorAssessment[[#This Row],[Overall Risk Rating]]="High",tblVendorAssessment[[#This Row],[Overall Risk Rating]]="Critical")),"Weak",
AND(tblVendorAssessment[[#This Row],[Overall Due Diligence Score]]&lt;7,tblVendorAssessment[[#This Row],[Overall Risk Rating]]="Low"),"Moderate",
TRUE,"Weak"
)</f>
        <v>Strong</v>
      </c>
      <c r="Q26" t="str" cm="1">
        <f t="array" ref="Q26">_xlfn.IFS(
tblVendorAssessment[[#This Row],[Overall Control Effectiveness]]="Strong","Approve",
tblVendorAssessment[[#This Row],[Overall Control Effectiveness]]="Adequate","Approve with Monitoring",
tblVendorAssessment[[#This Row],[Overall Control Effectiveness]]="Moderate","Conditional Approval",
tblVendorAssessment[[#This Row],[Overall Control Effectiveness]]="Weak","Rejected"
)</f>
        <v>Approve</v>
      </c>
    </row>
  </sheetData>
  <phoneticPr fontId="5" type="noConversion"/>
  <conditionalFormatting sqref="O1:O1048576">
    <cfRule type="containsText" dxfId="8" priority="6" operator="containsText" text="Excellent">
      <formula>NOT(ISERROR(SEARCH("Excellent",O1)))</formula>
    </cfRule>
    <cfRule type="containsText" dxfId="7" priority="7" operator="containsText" text="Excellent">
      <formula>NOT(ISERROR(SEARCH("Excellent",O1)))</formula>
    </cfRule>
    <cfRule type="containsText" dxfId="6" priority="8" operator="containsText" text="Good">
      <formula>NOT(ISERROR(SEARCH("Good",O1)))</formula>
    </cfRule>
    <cfRule type="containsText" dxfId="5" priority="9" operator="containsText" text="Excellent">
      <formula>NOT(ISERROR(SEARCH("Excellent",O1)))</formula>
    </cfRule>
  </conditionalFormatting>
  <conditionalFormatting sqref="Q1:Q1048576">
    <cfRule type="containsText" dxfId="4" priority="1" operator="containsText" text="Approve with Monitoring">
      <formula>NOT(ISERROR(SEARCH("Approve with Monitoring",Q1)))</formula>
    </cfRule>
    <cfRule type="containsText" dxfId="3" priority="3" operator="containsText" text="Conditional A">
      <formula>NOT(ISERROR(SEARCH("Conditional A",Q1)))</formula>
    </cfRule>
    <cfRule type="containsText" dxfId="2" priority="4" operator="containsText" text="Approve with monitoring">
      <formula>NOT(ISERROR(SEARCH("Approve with monitoring",Q1)))</formula>
    </cfRule>
    <cfRule type="containsText" dxfId="1" priority="5" operator="containsText" text="Appr">
      <formula>NOT(ISERROR(SEARCH("Appr",Q1)))</formula>
    </cfRule>
  </conditionalFormatting>
  <conditionalFormatting sqref="Q2:Q26">
    <cfRule type="containsText" dxfId="0" priority="2" operator="containsText" text="Rejected">
      <formula>NOT(ISERROR(SEARCH("Rejected",Q2)))</formula>
    </cfRule>
  </conditionalFormatting>
  <pageMargins left="0.7" right="0.7" top="0.75" bottom="0.75" header="0.3" footer="0.3"/>
  <pageSetup orientation="portrait" r:id="rId1"/>
  <ignoredErrors>
    <ignoredError sqref="A3 C3 E3:F3 R3" calculatedColumn="1"/>
  </ignoredErrors>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31D36CA7-6BC9-48AF-8B6B-7D58558E6ED3}">
          <x14:formula1>
            <xm:f>'Look up Table'!$C$2:$C$4</xm:f>
          </x14:formula1>
          <xm:sqref>G1:L1048576</xm:sqref>
        </x14:dataValidation>
        <x14:dataValidation type="list" allowBlank="1" showInputMessage="1" showErrorMessage="1" xr:uid="{2EEABB59-2D5A-477B-9976-20FE503B882A}">
          <x14:formula1>
            <xm:f>'Look up Table'!$F$2:$F$4</xm:f>
          </x14:formula1>
          <xm:sqref>Q27:Q1048576 P1:P26</xm:sqref>
        </x14:dataValidation>
        <x14:dataValidation type="list" allowBlank="1" showInputMessage="1" showErrorMessage="1" xr:uid="{521D925E-B872-4898-8B47-CCCA20074FC6}">
          <x14:formula1>
            <xm:f>'Look up Table'!$I$2:$I$5</xm:f>
          </x14:formula1>
          <xm:sqref>M1:M1048576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E8BCB-1404-41A6-8484-F86D00693371}">
  <dimension ref="A1:L28"/>
  <sheetViews>
    <sheetView showGridLines="0" zoomScale="85" zoomScaleNormal="85" workbookViewId="0">
      <selection activeCell="I18" sqref="I18"/>
    </sheetView>
  </sheetViews>
  <sheetFormatPr defaultRowHeight="15" x14ac:dyDescent="0.25"/>
  <cols>
    <col min="1" max="1" width="18.140625" bestFit="1" customWidth="1"/>
    <col min="2" max="2" width="8.5703125" bestFit="1" customWidth="1"/>
    <col min="3" max="3" width="19.42578125" bestFit="1" customWidth="1"/>
    <col min="5" max="5" width="17" bestFit="1" customWidth="1"/>
    <col min="7" max="7" width="17.85546875" bestFit="1" customWidth="1"/>
    <col min="9" max="9" width="22" bestFit="1" customWidth="1"/>
    <col min="11" max="11" width="14.85546875" bestFit="1" customWidth="1"/>
  </cols>
  <sheetData>
    <row r="1" spans="1:12" ht="26.25" x14ac:dyDescent="0.4">
      <c r="A1" s="18" t="s">
        <v>199</v>
      </c>
      <c r="B1" s="19"/>
      <c r="C1" s="19"/>
      <c r="D1" s="19"/>
      <c r="E1" s="19"/>
      <c r="F1" s="19"/>
      <c r="G1" s="19"/>
      <c r="H1" s="19"/>
    </row>
    <row r="3" spans="1:12" x14ac:dyDescent="0.25">
      <c r="A3" s="12" t="s">
        <v>202</v>
      </c>
      <c r="B3" s="13">
        <f>COUNTA(tblVendorRegister[Vendor ID])</f>
        <v>25</v>
      </c>
      <c r="C3" s="12" t="s">
        <v>203</v>
      </c>
      <c r="D3" s="13">
        <f>COUNTIF(tblVendorRegister[Critical Vendor?],"Yes")</f>
        <v>20</v>
      </c>
      <c r="E3" s="14" t="s">
        <v>204</v>
      </c>
      <c r="F3" s="13">
        <f>COUNTIF(tblVendorAssessment[Overall Risk Rating],"High")
+COUNTIF(tblVendorAssessment[Overall Risk Rating],"Critical")</f>
        <v>1</v>
      </c>
      <c r="G3" s="12" t="s">
        <v>205</v>
      </c>
      <c r="H3" s="13">
        <v>21</v>
      </c>
      <c r="I3" s="12" t="s">
        <v>206</v>
      </c>
      <c r="J3" s="13">
        <f>ROUND(
AVERAGE(tblVendorAssessment[Overall Due Diligence Score]),
1
)</f>
        <v>10.4</v>
      </c>
      <c r="K3" s="15"/>
      <c r="L3" s="15"/>
    </row>
    <row r="4" spans="1:12" x14ac:dyDescent="0.25">
      <c r="A4" s="12"/>
      <c r="B4" s="13"/>
      <c r="C4" s="12"/>
      <c r="D4" s="13"/>
      <c r="E4" s="12"/>
      <c r="F4" s="13"/>
      <c r="G4" s="12"/>
      <c r="H4" s="13"/>
      <c r="I4" s="12"/>
      <c r="J4" s="13"/>
      <c r="K4" s="15"/>
      <c r="L4" s="15"/>
    </row>
    <row r="7" spans="1:12" x14ac:dyDescent="0.25">
      <c r="A7" s="6" t="s">
        <v>200</v>
      </c>
      <c r="B7" s="11" t="s">
        <v>201</v>
      </c>
    </row>
    <row r="8" spans="1:12" x14ac:dyDescent="0.25">
      <c r="A8" s="7" t="s">
        <v>145</v>
      </c>
      <c r="B8" s="10">
        <f>COUNTIF(tblVendorAssessment[Overall Risk Rating],"Low")</f>
        <v>4</v>
      </c>
    </row>
    <row r="9" spans="1:12" x14ac:dyDescent="0.25">
      <c r="A9" s="7" t="s">
        <v>146</v>
      </c>
      <c r="B9" s="10">
        <f>COUNTIF(tblVendorAssessment[Overall Risk Rating],"Medium")</f>
        <v>20</v>
      </c>
    </row>
    <row r="10" spans="1:12" x14ac:dyDescent="0.25">
      <c r="A10" s="7" t="s">
        <v>147</v>
      </c>
      <c r="B10" s="10">
        <f>COUNTIF(tblVendorAssessment[Overall Risk Rating],"High")</f>
        <v>1</v>
      </c>
    </row>
    <row r="11" spans="1:12" x14ac:dyDescent="0.25">
      <c r="A11" s="7" t="s">
        <v>148</v>
      </c>
      <c r="B11" s="10">
        <v>0</v>
      </c>
    </row>
    <row r="20" spans="1:2" x14ac:dyDescent="0.25">
      <c r="A20" s="6" t="s">
        <v>207</v>
      </c>
      <c r="B20" s="11" t="s">
        <v>201</v>
      </c>
    </row>
    <row r="21" spans="1:2" x14ac:dyDescent="0.25">
      <c r="A21" s="7" t="s">
        <v>163</v>
      </c>
      <c r="B21" s="10">
        <f>COUNTIF(tblVendorAssessment[Overall Control Effectiveness],"Strong")</f>
        <v>4</v>
      </c>
    </row>
    <row r="22" spans="1:2" x14ac:dyDescent="0.25">
      <c r="A22" s="7" t="s">
        <v>162</v>
      </c>
      <c r="B22" s="10">
        <f>COUNTIF(tblVendorAssessment[Overall Control Effectiveness],"Adequate")</f>
        <v>17</v>
      </c>
    </row>
    <row r="23" spans="1:2" x14ac:dyDescent="0.25">
      <c r="A23" s="7" t="s">
        <v>208</v>
      </c>
      <c r="B23" s="10">
        <f>COUNTIF(tblVendorAssessment[Overall Control Effectiveness],"Moderate")</f>
        <v>3</v>
      </c>
    </row>
    <row r="24" spans="1:2" x14ac:dyDescent="0.25">
      <c r="A24" s="7" t="s">
        <v>161</v>
      </c>
      <c r="B24" s="10">
        <f>COUNTIF(tblVendorAssessment[Overall Control Effectiveness],"Weak")</f>
        <v>1</v>
      </c>
    </row>
    <row r="25" spans="1:2" x14ac:dyDescent="0.25">
      <c r="A25" s="7"/>
      <c r="B25" s="10"/>
    </row>
    <row r="26" spans="1:2" x14ac:dyDescent="0.25">
      <c r="A26" s="7"/>
      <c r="B26" s="10"/>
    </row>
    <row r="27" spans="1:2" x14ac:dyDescent="0.25">
      <c r="A27" s="7"/>
      <c r="B27" s="10"/>
    </row>
    <row r="28" spans="1:2" x14ac:dyDescent="0.25">
      <c r="A28" s="7"/>
      <c r="B28" s="10"/>
    </row>
  </sheetData>
  <mergeCells count="1">
    <mergeCell ref="A1:H1"/>
  </mergeCell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298E6-9E95-4F60-BBB9-2E2732B7A927}">
  <dimension ref="A1:J5"/>
  <sheetViews>
    <sheetView workbookViewId="0">
      <selection activeCell="L1" sqref="L1"/>
    </sheetView>
  </sheetViews>
  <sheetFormatPr defaultRowHeight="15" x14ac:dyDescent="0.25"/>
  <cols>
    <col min="1" max="1" width="12.28515625" customWidth="1"/>
    <col min="3" max="3" width="11.7109375" customWidth="1"/>
    <col min="6" max="6" width="22" customWidth="1"/>
    <col min="7" max="7" width="11" customWidth="1"/>
  </cols>
  <sheetData>
    <row r="1" spans="1:10" x14ac:dyDescent="0.25">
      <c r="A1" t="s">
        <v>63</v>
      </c>
      <c r="C1" t="s">
        <v>3</v>
      </c>
      <c r="D1" t="s">
        <v>4</v>
      </c>
      <c r="F1" t="s">
        <v>165</v>
      </c>
      <c r="G1" t="s">
        <v>164</v>
      </c>
      <c r="I1" t="s">
        <v>192</v>
      </c>
      <c r="J1" t="s">
        <v>4</v>
      </c>
    </row>
    <row r="2" spans="1:10" x14ac:dyDescent="0.25">
      <c r="A2" t="s">
        <v>145</v>
      </c>
      <c r="C2" t="s">
        <v>1</v>
      </c>
      <c r="D2">
        <v>2</v>
      </c>
      <c r="F2" t="s">
        <v>163</v>
      </c>
      <c r="G2">
        <v>0.8</v>
      </c>
      <c r="I2" t="s">
        <v>193</v>
      </c>
      <c r="J2">
        <v>1</v>
      </c>
    </row>
    <row r="3" spans="1:10" x14ac:dyDescent="0.25">
      <c r="A3" t="s">
        <v>146</v>
      </c>
      <c r="C3" t="s">
        <v>160</v>
      </c>
      <c r="D3">
        <v>1</v>
      </c>
      <c r="F3" t="s">
        <v>162</v>
      </c>
      <c r="G3">
        <v>1</v>
      </c>
      <c r="I3" t="s">
        <v>194</v>
      </c>
      <c r="J3">
        <v>2</v>
      </c>
    </row>
    <row r="4" spans="1:10" x14ac:dyDescent="0.25">
      <c r="A4" t="s">
        <v>147</v>
      </c>
      <c r="C4" t="s">
        <v>2</v>
      </c>
      <c r="D4">
        <v>0</v>
      </c>
      <c r="F4" t="s">
        <v>161</v>
      </c>
      <c r="G4">
        <v>1.2</v>
      </c>
      <c r="I4" t="s">
        <v>195</v>
      </c>
      <c r="J4">
        <v>3</v>
      </c>
    </row>
    <row r="5" spans="1:10" x14ac:dyDescent="0.25">
      <c r="A5" t="s">
        <v>148</v>
      </c>
      <c r="I5" t="s">
        <v>196</v>
      </c>
      <c r="J5">
        <v>4</v>
      </c>
    </row>
  </sheetData>
  <pageMargins left="0.7" right="0.7" top="0.75" bottom="0.75" header="0.3" footer="0.3"/>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 Overview</vt:lpstr>
      <vt:lpstr>Vendor Register</vt:lpstr>
      <vt:lpstr>Vendor Due Diligence and Risk</vt:lpstr>
      <vt:lpstr>Executive Dashboardd</vt:lpstr>
      <vt:lpstr>Look up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Abdulmuizz Abdulrazaq</dc:creator>
  <cp:lastModifiedBy>Abdulmuizz Abdulrazaq</cp:lastModifiedBy>
  <dcterms:created xsi:type="dcterms:W3CDTF">2026-07-30T09:44:46Z</dcterms:created>
  <dcterms:modified xsi:type="dcterms:W3CDTF">2026-07-31T14:09:24Z</dcterms:modified>
</cp:coreProperties>
</file>