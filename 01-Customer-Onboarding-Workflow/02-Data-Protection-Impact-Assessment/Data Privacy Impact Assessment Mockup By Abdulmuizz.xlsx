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iz\Documents\PERSONAL\Compliance\Portfolio and Mock Projects\"/>
    </mc:Choice>
  </mc:AlternateContent>
  <xr:revisionPtr revIDLastSave="0" documentId="13_ncr:1_{2A25CF88-BA20-42FF-971D-4C8171E5625F}" xr6:coauthVersionLast="47" xr6:coauthVersionMax="47" xr10:uidLastSave="{00000000-0000-0000-0000-000000000000}"/>
  <bookViews>
    <workbookView xWindow="-120" yWindow="-120" windowWidth="20730" windowHeight="11760" xr2:uid="{2C84B0A7-CB3C-4851-B266-DC6672983153}"/>
  </bookViews>
  <sheets>
    <sheet name="Project Information and Screeni" sheetId="1" r:id="rId1"/>
    <sheet name="Processing Activities" sheetId="2" r:id="rId2"/>
    <sheet name="Necessity and Proportionality" sheetId="3" r:id="rId3"/>
    <sheet name="Privacy Risk Assessment" sheetId="5" r:id="rId4"/>
    <sheet name="Summary, Approval and Signoff" sheetId="6" r:id="rId5"/>
    <sheet name="Executive Dashboard" sheetId="7" r:id="rId6"/>
    <sheet name="Lookup Table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1" i="7" l="1"/>
  <c r="B42" i="7"/>
  <c r="B43" i="7"/>
  <c r="B38" i="7"/>
  <c r="B26" i="7"/>
  <c r="B27" i="7"/>
  <c r="B28" i="7"/>
  <c r="B29" i="7"/>
  <c r="B30" i="7"/>
  <c r="B31" i="7"/>
  <c r="B16" i="7"/>
  <c r="B17" i="7"/>
  <c r="B18" i="7"/>
  <c r="B19" i="7"/>
  <c r="B7" i="7"/>
  <c r="B5" i="7"/>
  <c r="B6" i="7"/>
  <c r="B13" i="6"/>
  <c r="B15" i="6"/>
  <c r="B14" i="6"/>
  <c r="B12" i="6"/>
  <c r="B11" i="6"/>
  <c r="B10" i="6"/>
  <c r="B5" i="6"/>
  <c r="R11" i="2" a="1"/>
  <c r="R11" i="2" s="1"/>
  <c r="S11" i="2" s="1"/>
  <c r="R9" i="2" a="1"/>
  <c r="R9" i="2"/>
  <c r="R7" i="2" a="1"/>
  <c r="R7" i="2" s="1"/>
  <c r="S7" i="2" s="1"/>
  <c r="R6" i="2" a="1"/>
  <c r="R6" i="2" s="1"/>
  <c r="S6" i="2" s="1"/>
  <c r="R3" i="2" a="1"/>
  <c r="R3" i="2" s="1"/>
  <c r="S3" i="2" s="1"/>
  <c r="R10" i="2" a="1"/>
  <c r="R10" i="2"/>
  <c r="H3" i="5"/>
  <c r="I3" i="5" s="1" a="1"/>
  <c r="I3" i="5" s="1"/>
  <c r="H4" i="5"/>
  <c r="L4" i="5" s="1" a="1"/>
  <c r="L4" i="5" s="1"/>
  <c r="M4" i="5" s="1" a="1"/>
  <c r="M4" i="5" s="1"/>
  <c r="N4" i="5" s="1" a="1"/>
  <c r="N4" i="5" s="1"/>
  <c r="H5" i="5"/>
  <c r="I5" i="5" s="1" a="1"/>
  <c r="I5" i="5" s="1"/>
  <c r="H6" i="5"/>
  <c r="I6" i="5" s="1" a="1"/>
  <c r="I6" i="5" s="1"/>
  <c r="H7" i="5"/>
  <c r="L7" i="5" s="1" a="1"/>
  <c r="L7" i="5" s="1"/>
  <c r="M7" i="5" s="1" a="1"/>
  <c r="M7" i="5" s="1"/>
  <c r="N7" i="5" s="1" a="1"/>
  <c r="N7" i="5" s="1"/>
  <c r="H8" i="5"/>
  <c r="L8" i="5" s="1" a="1"/>
  <c r="L8" i="5" s="1"/>
  <c r="M8" i="5" s="1" a="1"/>
  <c r="M8" i="5" s="1"/>
  <c r="N8" i="5" s="1" a="1"/>
  <c r="N8" i="5" s="1"/>
  <c r="H9" i="5"/>
  <c r="L9" i="5" s="1" a="1"/>
  <c r="L9" i="5" s="1"/>
  <c r="M9" i="5" s="1" a="1"/>
  <c r="M9" i="5" s="1"/>
  <c r="N9" i="5" s="1" a="1"/>
  <c r="N9" i="5" s="1"/>
  <c r="H10" i="5"/>
  <c r="L10" i="5" s="1" a="1"/>
  <c r="L10" i="5" s="1"/>
  <c r="M10" i="5" s="1" a="1"/>
  <c r="M10" i="5" s="1"/>
  <c r="N10" i="5" s="1" a="1"/>
  <c r="N10" i="5" s="1"/>
  <c r="H11" i="5"/>
  <c r="I11" i="5" s="1" a="1"/>
  <c r="I11" i="5" s="1"/>
  <c r="H2" i="5"/>
  <c r="L2" i="5" s="1" a="1"/>
  <c r="L2" i="5" s="1"/>
  <c r="M2" i="5" s="1" a="1"/>
  <c r="M2" i="5" s="1"/>
  <c r="N2" i="5" s="1" a="1"/>
  <c r="N2" i="5" s="1"/>
  <c r="P3" i="3" a="1"/>
  <c r="P3" i="3"/>
  <c r="P4" i="3" a="1"/>
  <c r="P4" i="3"/>
  <c r="P5" i="3" a="1"/>
  <c r="P5" i="3"/>
  <c r="P6" i="3" a="1"/>
  <c r="P6" i="3"/>
  <c r="P7" i="3" a="1"/>
  <c r="P7" i="3"/>
  <c r="P8" i="3" a="1"/>
  <c r="P8" i="3"/>
  <c r="P9" i="3" a="1"/>
  <c r="P9" i="3"/>
  <c r="P10" i="3" a="1"/>
  <c r="P10" i="3" s="1"/>
  <c r="P11" i="3" a="1"/>
  <c r="P11" i="3" s="1"/>
  <c r="P2" i="3" a="1"/>
  <c r="P2" i="3" s="1"/>
  <c r="O2" i="3" a="1"/>
  <c r="O2" i="3" s="1"/>
  <c r="O3" i="3" a="1"/>
  <c r="O3" i="3" s="1"/>
  <c r="O4" i="3" a="1"/>
  <c r="O4" i="3"/>
  <c r="O5" i="3" a="1"/>
  <c r="O5" i="3" s="1"/>
  <c r="O6" i="3" a="1"/>
  <c r="O6" i="3"/>
  <c r="O7" i="3" a="1"/>
  <c r="O7" i="3" s="1"/>
  <c r="O8" i="3" a="1"/>
  <c r="O8" i="3"/>
  <c r="O9" i="3" a="1"/>
  <c r="O9" i="3" s="1"/>
  <c r="O10" i="3" a="1"/>
  <c r="O10" i="3" s="1"/>
  <c r="O11" i="3" a="1"/>
  <c r="O11" i="3" s="1"/>
  <c r="N3" i="3"/>
  <c r="N4" i="3"/>
  <c r="N5" i="3"/>
  <c r="N6" i="3"/>
  <c r="N7" i="3"/>
  <c r="N8" i="3"/>
  <c r="N9" i="3"/>
  <c r="N10" i="3"/>
  <c r="N11" i="3"/>
  <c r="N2" i="3"/>
  <c r="R2" i="2" a="1"/>
  <c r="R2" i="2" s="1"/>
  <c r="S2" i="2" s="1"/>
  <c r="R4" i="2" a="1"/>
  <c r="R4" i="2" s="1"/>
  <c r="S4" i="2" s="1"/>
  <c r="R5" i="2" a="1"/>
  <c r="R5" i="2" s="1"/>
  <c r="S5" i="2" s="1"/>
  <c r="R8" i="2" a="1"/>
  <c r="R8" i="2" s="1"/>
  <c r="S8" i="2" s="1"/>
  <c r="S9" i="2"/>
  <c r="S10" i="2"/>
  <c r="B44" i="1"/>
  <c r="B47" i="1" s="1"/>
  <c r="B48" i="1" l="1" a="1"/>
  <c r="B48" i="1" s="1"/>
  <c r="B49" i="1" s="1"/>
  <c r="I7" i="5" a="1"/>
  <c r="I7" i="5" s="1"/>
  <c r="L11" i="5" a="1"/>
  <c r="L11" i="5" s="1"/>
  <c r="M11" i="5" s="1" a="1"/>
  <c r="M11" i="5" s="1"/>
  <c r="N11" i="5" s="1" a="1"/>
  <c r="N11" i="5" s="1"/>
  <c r="L3" i="5" a="1"/>
  <c r="L3" i="5" s="1"/>
  <c r="M3" i="5" s="1" a="1"/>
  <c r="M3" i="5" s="1"/>
  <c r="N3" i="5" s="1" a="1"/>
  <c r="N3" i="5" s="1"/>
  <c r="I10" i="5" a="1"/>
  <c r="I10" i="5" s="1"/>
  <c r="I4" i="5" a="1"/>
  <c r="I4" i="5" s="1"/>
  <c r="L6" i="5" a="1"/>
  <c r="L6" i="5" s="1"/>
  <c r="M6" i="5" s="1" a="1"/>
  <c r="M6" i="5" s="1"/>
  <c r="N6" i="5" s="1" a="1"/>
  <c r="N6" i="5" s="1"/>
  <c r="I2" i="5" a="1"/>
  <c r="I2" i="5" s="1"/>
  <c r="L5" i="5" a="1"/>
  <c r="L5" i="5" s="1"/>
  <c r="M5" i="5" s="1" a="1"/>
  <c r="M5" i="5" s="1"/>
  <c r="N5" i="5" s="1" a="1"/>
  <c r="N5" i="5" s="1"/>
  <c r="I8" i="5" a="1"/>
  <c r="I8" i="5" s="1"/>
  <c r="I9" i="5" a="1"/>
  <c r="I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<sst xmlns="http://schemas.openxmlformats.org/spreadsheetml/2006/main" count="728" uniqueCount="341">
  <si>
    <t>DPIA Reference No.</t>
  </si>
  <si>
    <t>DPIA-2026-001</t>
  </si>
  <si>
    <t>Project Name</t>
  </si>
  <si>
    <t>HealthBridge CareConnect Platform</t>
  </si>
  <si>
    <t>Project Description</t>
  </si>
  <si>
    <t>Cloud-based digital healthcare platform providing patient registration, telemedicine, laboratory services, e-prescriptions, appointment scheduling, and payment processing.</t>
  </si>
  <si>
    <t>Organisation</t>
  </si>
  <si>
    <t>HealthBridge Digital Services Ltd</t>
  </si>
  <si>
    <t>Department</t>
  </si>
  <si>
    <t>Digital Health Services</t>
  </si>
  <si>
    <t>Project Sponsor</t>
  </si>
  <si>
    <t>Dr. Amina Yusuf</t>
  </si>
  <si>
    <t>Project Manager</t>
  </si>
  <si>
    <t>Ibrahim Musa</t>
  </si>
  <si>
    <t>Data Protection Officer</t>
  </si>
  <si>
    <t>Abdulmuizz Abdulrazaq</t>
  </si>
  <si>
    <t>Information Security Lead</t>
  </si>
  <si>
    <t>James Okafor</t>
  </si>
  <si>
    <t>Legal Counsel</t>
  </si>
  <si>
    <t>Fatima Bello</t>
  </si>
  <si>
    <t>DPIA Start Date</t>
  </si>
  <si>
    <t>Expected Go-Live Date</t>
  </si>
  <si>
    <t>Version</t>
  </si>
  <si>
    <t>Assessment Status</t>
  </si>
  <si>
    <t>In Progress</t>
  </si>
  <si>
    <t>Project Information</t>
  </si>
  <si>
    <t>Processing Summary</t>
  </si>
  <si>
    <t>Question</t>
  </si>
  <si>
    <t>Purpose of Processing</t>
  </si>
  <si>
    <t>Delivery of digital healthcare services.</t>
  </si>
  <si>
    <t>Business Need</t>
  </si>
  <si>
    <t>Improve access to healthcare through a secure online platform.</t>
  </si>
  <si>
    <t>Categories of Data Subjects</t>
  </si>
  <si>
    <t>Patients, Children, Doctors, Staff</t>
  </si>
  <si>
    <t>Categories of Personal Data</t>
  </si>
  <si>
    <t>Identity Data, Contact Data, Health Data, Financial Data</t>
  </si>
  <si>
    <t>Sensitive Personal Data Processed?</t>
  </si>
  <si>
    <t>Yes</t>
  </si>
  <si>
    <t>Cross-Border Transfers?</t>
  </si>
  <si>
    <t>Automated Processing?</t>
  </si>
  <si>
    <t>Cloud Hosting?</t>
  </si>
  <si>
    <t>DPIA Screening Quetionnaire</t>
  </si>
  <si>
    <t>Response</t>
  </si>
  <si>
    <t>Does the project process personal data?</t>
  </si>
  <si>
    <t>Does it process sensitive personal data?</t>
  </si>
  <si>
    <t>Does it process children's data?</t>
  </si>
  <si>
    <t>Is large-scale processing involved?</t>
  </si>
  <si>
    <t>Is there systematic monitoring?</t>
  </si>
  <si>
    <t>No</t>
  </si>
  <si>
    <t>Are automated decisions made?</t>
  </si>
  <si>
    <t>Does it involve new technologies?</t>
  </si>
  <si>
    <t>Are international data transfers involved?</t>
  </si>
  <si>
    <t>Are third-party processors involved?</t>
  </si>
  <si>
    <t>Could the processing create high risks to individuals?</t>
  </si>
  <si>
    <t>Screening Score</t>
  </si>
  <si>
    <t>Score</t>
  </si>
  <si>
    <t>Result</t>
  </si>
  <si>
    <t>DPIA Requirement</t>
  </si>
  <si>
    <t>DPIA REQUIREMENT</t>
  </si>
  <si>
    <t>Preliminary Risk Classification</t>
  </si>
  <si>
    <t>DPO Recommendation</t>
  </si>
  <si>
    <t>Activity ID</t>
  </si>
  <si>
    <t>Processing Activity</t>
  </si>
  <si>
    <t>System/Application</t>
  </si>
  <si>
    <t>Data Controller</t>
  </si>
  <si>
    <t>Data Processor</t>
  </si>
  <si>
    <t>Status</t>
  </si>
  <si>
    <t>PA001</t>
  </si>
  <si>
    <t>Patient Registration</t>
  </si>
  <si>
    <t>Digital Health</t>
  </si>
  <si>
    <t>CareConnect</t>
  </si>
  <si>
    <t>HealthBridge</t>
  </si>
  <si>
    <t>Cloud Provider</t>
  </si>
  <si>
    <t>PA002</t>
  </si>
  <si>
    <t>Identity Verification</t>
  </si>
  <si>
    <t>Verify patient identity</t>
  </si>
  <si>
    <t>Operations</t>
  </si>
  <si>
    <t>PA003</t>
  </si>
  <si>
    <t>Appointment Booking</t>
  </si>
  <si>
    <t>Schedule appointments</t>
  </si>
  <si>
    <t>Medical Services</t>
  </si>
  <si>
    <t>PA004</t>
  </si>
  <si>
    <t>Video Consultation</t>
  </si>
  <si>
    <t>PA005</t>
  </si>
  <si>
    <t>Medical Records</t>
  </si>
  <si>
    <t>EMR Module</t>
  </si>
  <si>
    <t>PA006</t>
  </si>
  <si>
    <t>Laboratory Results</t>
  </si>
  <si>
    <t>Laboratory</t>
  </si>
  <si>
    <t>Laboratory Module</t>
  </si>
  <si>
    <t>PA007</t>
  </si>
  <si>
    <t>Electronic Prescription</t>
  </si>
  <si>
    <t>Pharmacy</t>
  </si>
  <si>
    <t>Prescription Module</t>
  </si>
  <si>
    <t>PA008</t>
  </si>
  <si>
    <t>Payment Processing</t>
  </si>
  <si>
    <t>Process payments</t>
  </si>
  <si>
    <t>Finance</t>
  </si>
  <si>
    <t>Payment Gateway</t>
  </si>
  <si>
    <t>Payment Processor</t>
  </si>
  <si>
    <t>PA009</t>
  </si>
  <si>
    <t>SMS Notifications</t>
  </si>
  <si>
    <t>Customer Care</t>
  </si>
  <si>
    <t>SMS Gateway</t>
  </si>
  <si>
    <t>SMS Provider</t>
  </si>
  <si>
    <t>PA010</t>
  </si>
  <si>
    <t>Email Notifications</t>
  </si>
  <si>
    <t>Email Provider</t>
  </si>
  <si>
    <t>Data Subjects</t>
  </si>
  <si>
    <t>Personal Data</t>
  </si>
  <si>
    <t>Special Personal Data</t>
  </si>
  <si>
    <t>Lawful Basis</t>
  </si>
  <si>
    <t>Recipients</t>
  </si>
  <si>
    <t>International Transfer</t>
  </si>
  <si>
    <t>Destination Country</t>
  </si>
  <si>
    <t>Retention Period</t>
  </si>
  <si>
    <t>Existing Controls</t>
  </si>
  <si>
    <t>Register new patients</t>
  </si>
  <si>
    <t>Patients, Parents/Guardians</t>
  </si>
  <si>
    <t>Name, DOB, Address, Phone, Email, NIN</t>
  </si>
  <si>
    <t>Contract</t>
  </si>
  <si>
    <t>Customer Support</t>
  </si>
  <si>
    <t>Netherlands</t>
  </si>
  <si>
    <t>7 Years</t>
  </si>
  <si>
    <t>MFA, Encryption, RBAC</t>
  </si>
  <si>
    <t>Patients</t>
  </si>
  <si>
    <t>NIN, Passport Photo</t>
  </si>
  <si>
    <t>Legal Obligation</t>
  </si>
  <si>
    <t>Verification Team</t>
  </si>
  <si>
    <t>MFA, Encryption</t>
  </si>
  <si>
    <t>Name, Contact Details</t>
  </si>
  <si>
    <t>Doctors</t>
  </si>
  <si>
    <t>MFA, RBAC</t>
  </si>
  <si>
    <t>Deliver healthcare remotely</t>
  </si>
  <si>
    <t>Health Records, Consultation Notes</t>
  </si>
  <si>
    <t>10 Years</t>
  </si>
  <si>
    <t>Encryption, Audit Logs</t>
  </si>
  <si>
    <t>Maintain patient records</t>
  </si>
  <si>
    <t>Medical History, Diagnosis</t>
  </si>
  <si>
    <t>Medical Staff</t>
  </si>
  <si>
    <t>Encryption, RBAC</t>
  </si>
  <si>
    <t>Store laboratory reports</t>
  </si>
  <si>
    <t>Lab Results</t>
  </si>
  <si>
    <t>Laboratory Staff</t>
  </si>
  <si>
    <t>Encryption</t>
  </si>
  <si>
    <t>Generate prescriptions</t>
  </si>
  <si>
    <t>Prescription Data</t>
  </si>
  <si>
    <t>Audit Logs</t>
  </si>
  <si>
    <t>Payment Information</t>
  </si>
  <si>
    <t>United States</t>
  </si>
  <si>
    <t>Send reminders</t>
  </si>
  <si>
    <t>Phone Number</t>
  </si>
  <si>
    <t>Legitimate Interest</t>
  </si>
  <si>
    <t>2 Years</t>
  </si>
  <si>
    <t>DPA</t>
  </si>
  <si>
    <t>Send updates</t>
  </si>
  <si>
    <t>Email Service</t>
  </si>
  <si>
    <t>Email Address</t>
  </si>
  <si>
    <t>Ireland</t>
  </si>
  <si>
    <t>Risk Level</t>
  </si>
  <si>
    <t>DPIA Required</t>
  </si>
  <si>
    <t>Remarks</t>
  </si>
  <si>
    <t>Disposal Method</t>
  </si>
  <si>
    <t>Secure Deletion</t>
  </si>
  <si>
    <t>Assessment ID</t>
  </si>
  <si>
    <t>Purpose Clearly Defined?</t>
  </si>
  <si>
    <t>Processing Necessary?</t>
  </si>
  <si>
    <t>Processing Proportionate?</t>
  </si>
  <si>
    <t>Lawful Basis Appropriate?</t>
  </si>
  <si>
    <t>Data Minimisation Applied?</t>
  </si>
  <si>
    <t>Accuracy Measures in Place?</t>
  </si>
  <si>
    <t>Retention Appropriate?</t>
  </si>
  <si>
    <t>Security Measures Adequate?</t>
  </si>
  <si>
    <t>Transparency Provided?</t>
  </si>
  <si>
    <t>Data Subject Rights Supported?</t>
  </si>
  <si>
    <t>Overall Compliance</t>
  </si>
  <si>
    <t>Recommendation</t>
  </si>
  <si>
    <t>Compliance Score</t>
  </si>
  <si>
    <t>Partially</t>
  </si>
  <si>
    <t>NA001</t>
  </si>
  <si>
    <t>NA002</t>
  </si>
  <si>
    <t>NA003</t>
  </si>
  <si>
    <t>NA004</t>
  </si>
  <si>
    <t>NA005</t>
  </si>
  <si>
    <t>NA006</t>
  </si>
  <si>
    <t>NA007</t>
  </si>
  <si>
    <t>NA008</t>
  </si>
  <si>
    <t>NA009</t>
  </si>
  <si>
    <t>NA010</t>
  </si>
  <si>
    <t>PA 001</t>
  </si>
  <si>
    <t>PA 002</t>
  </si>
  <si>
    <t>PA 003</t>
  </si>
  <si>
    <t>PA 004</t>
  </si>
  <si>
    <t>PA 005</t>
  </si>
  <si>
    <t>PA 006</t>
  </si>
  <si>
    <t>PA 007</t>
  </si>
  <si>
    <t>PA 008</t>
  </si>
  <si>
    <t>PA 009</t>
  </si>
  <si>
    <t>PA 010</t>
  </si>
  <si>
    <t>Privacy Risk</t>
  </si>
  <si>
    <t>Unauthorized access to patient records</t>
  </si>
  <si>
    <t>Identity theft</t>
  </si>
  <si>
    <t>Unauthorized disclosure of appointments</t>
  </si>
  <si>
    <t>Interception of video sessions</t>
  </si>
  <si>
    <t>Data breach exposing health records</t>
  </si>
  <si>
    <t>Unauthorized disclosure of laboratory reports</t>
  </si>
  <si>
    <t>Prescription manipulation</t>
  </si>
  <si>
    <t>Financial information compromise</t>
  </si>
  <si>
    <t>Disclosure through incorrect recipient</t>
  </si>
  <si>
    <t>Phishing or email compromise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</si>
  <si>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</si>
  <si>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</si>
  <si>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</si>
  <si>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</si>
  <si>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</si>
  <si>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</si>
  <si>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</si>
  <si>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</si>
  <si>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</si>
  <si>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</si>
  <si>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Data Protection Principle Affected</t>
  </si>
  <si>
    <t>Existing Control</t>
  </si>
  <si>
    <t>Likelihood</t>
  </si>
  <si>
    <t>Impact</t>
  </si>
  <si>
    <t>Inherent Risk Score</t>
  </si>
  <si>
    <t>Control Effectiveness</t>
  </si>
  <si>
    <t>Residual Risk Score</t>
  </si>
  <si>
    <t>Residual Risk Rating</t>
  </si>
  <si>
    <t>Risk Treatment</t>
  </si>
  <si>
    <t>Risk Owner</t>
  </si>
  <si>
    <t>Target Date</t>
  </si>
  <si>
    <t>Remark</t>
  </si>
  <si>
    <t>Lawfulness</t>
  </si>
  <si>
    <t>Fairness</t>
  </si>
  <si>
    <t>Transparency</t>
  </si>
  <si>
    <t>Purpose Limitation</t>
  </si>
  <si>
    <t>Data Minimisation</t>
  </si>
  <si>
    <t>Accuracy</t>
  </si>
  <si>
    <t>Storage Limitation</t>
  </si>
  <si>
    <t>Integrity &amp; Confidentiality</t>
  </si>
  <si>
    <t>Accountability</t>
  </si>
  <si>
    <t>Data Principles</t>
  </si>
  <si>
    <t>Rare</t>
  </si>
  <si>
    <t>Unlikely</t>
  </si>
  <si>
    <t>Possible</t>
  </si>
  <si>
    <t>Likely</t>
  </si>
  <si>
    <t>Almost Certain</t>
  </si>
  <si>
    <t>Insignificant</t>
  </si>
  <si>
    <t>Minor</t>
  </si>
  <si>
    <t>Moderate</t>
  </si>
  <si>
    <t>Major</t>
  </si>
  <si>
    <t>Severe</t>
  </si>
  <si>
    <t>Inherent Risk Rating</t>
  </si>
  <si>
    <t>Very Effective</t>
  </si>
  <si>
    <t>Effective</t>
  </si>
  <si>
    <t>Partially Effective</t>
  </si>
  <si>
    <t>Ineffective</t>
  </si>
  <si>
    <t>Reduction</t>
  </si>
  <si>
    <t>DPO</t>
  </si>
  <si>
    <t>Information Security Manager</t>
  </si>
  <si>
    <t>IT Manager</t>
  </si>
  <si>
    <t>Compliance Manager</t>
  </si>
  <si>
    <t>Operations Manager</t>
  </si>
  <si>
    <t>Open</t>
  </si>
  <si>
    <t>Closed</t>
  </si>
  <si>
    <t>Accepted</t>
  </si>
  <si>
    <t>Risk ID</t>
  </si>
  <si>
    <t>Vital Interest</t>
  </si>
  <si>
    <t>Consent</t>
  </si>
  <si>
    <t>Column1</t>
  </si>
  <si>
    <t>DPIA SUMMARY</t>
  </si>
  <si>
    <t>DPIA Reference</t>
  </si>
  <si>
    <t>Assessment Date</t>
  </si>
  <si>
    <t>Current Version</t>
  </si>
  <si>
    <t>In Review</t>
  </si>
  <si>
    <t>RISK ASSESSMENT SUMMARY</t>
  </si>
  <si>
    <t>Formula</t>
  </si>
  <si>
    <t>Total Processing Activities</t>
  </si>
  <si>
    <t>Total Privacy Risks</t>
  </si>
  <si>
    <t>Very High Risks</t>
  </si>
  <si>
    <t>High Risks</t>
  </si>
  <si>
    <t>Medium Risks</t>
  </si>
  <si>
    <t>Low Risks</t>
  </si>
  <si>
    <t>Reviewer Role</t>
  </si>
  <si>
    <t>Reviewer Name</t>
  </si>
  <si>
    <t>Review Date</t>
  </si>
  <si>
    <t>Decision</t>
  </si>
  <si>
    <t>Comments</t>
  </si>
  <si>
    <t>Signature</t>
  </si>
  <si>
    <t>Compliance Officer</t>
  </si>
  <si>
    <t>Mary Johnson</t>
  </si>
  <si>
    <t>Executive Management</t>
  </si>
  <si>
    <t>CEO</t>
  </si>
  <si>
    <t>Approved</t>
  </si>
  <si>
    <t>Conditionally Approved</t>
  </si>
  <si>
    <t>Rejected</t>
  </si>
  <si>
    <t>More Information Required</t>
  </si>
  <si>
    <t>Pending Review</t>
  </si>
  <si>
    <t xml:space="preserve">Approval </t>
  </si>
  <si>
    <t>Initials</t>
  </si>
  <si>
    <t>Name</t>
  </si>
  <si>
    <t>"Digitally Approved"</t>
  </si>
  <si>
    <t>RESIDUAL RISK ACCEPTANCE</t>
  </si>
  <si>
    <t>Are all High Risks mitigated?</t>
  </si>
  <si>
    <t>Are all Very High Risks mitigated?</t>
  </si>
  <si>
    <t>Is management willing to accept the remaining residual risks?</t>
  </si>
  <si>
    <t>Can the project proceed?</t>
  </si>
  <si>
    <t>Proceed with Condition</t>
  </si>
  <si>
    <t>Executive Decision</t>
  </si>
  <si>
    <t>Approval Conditions</t>
  </si>
  <si>
    <t>Consult with NDPC on High Risk</t>
  </si>
  <si>
    <t>APPROVAL MATRIX</t>
  </si>
  <si>
    <t>SIGN OFF</t>
  </si>
  <si>
    <t>Approved By</t>
  </si>
  <si>
    <t>Position</t>
  </si>
  <si>
    <t>Approval Date</t>
  </si>
  <si>
    <t>Next DPIA Review Date</t>
  </si>
  <si>
    <t>DATA PROTECTION IMPACT ASSESSMENT (DPIA) DASHBOARD</t>
  </si>
  <si>
    <t>Project: HealthBridge CareConnect Platform | Organisation: HealthBridge Digital Services Ltd</t>
  </si>
  <si>
    <t>KPI</t>
  </si>
  <si>
    <t>High &amp; Very High Risks</t>
  </si>
  <si>
    <t>Overall DPIA Status</t>
  </si>
  <si>
    <t>RISK DISTRIBUTION</t>
  </si>
  <si>
    <t>Count</t>
  </si>
  <si>
    <t>Low</t>
  </si>
  <si>
    <t>Medium</t>
  </si>
  <si>
    <t>High</t>
  </si>
  <si>
    <t>Very High</t>
  </si>
  <si>
    <t>RISKS BY DATA PROTECTION PRINCIPLE</t>
  </si>
  <si>
    <t>RISK OWNERS</t>
  </si>
  <si>
    <t>APPROVAL DECISIONS</t>
  </si>
  <si>
    <t>MFA and Standard Contractual Clauses</t>
  </si>
  <si>
    <t>Encryption and Standard Contractual Clauses</t>
  </si>
  <si>
    <t>Standard Contractual Clauses</t>
  </si>
  <si>
    <t>Audit Logs and Standard Contractual Clauses</t>
  </si>
  <si>
    <t>Secure Backups and Standard Contractual Clauses</t>
  </si>
  <si>
    <t>DPA and Standard Contractual Clauses</t>
  </si>
  <si>
    <t>Security Awareness and Standard Contractual Clauses</t>
  </si>
  <si>
    <t>Incident Response Plan and Standard Contractual Clauses</t>
  </si>
  <si>
    <t>Muizz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</si>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</sst>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Times New Roman"/>
      <family val="1"/>
    </font>
    <font>
      <sz val="8"/>
      <name val="Calibri"/>
      <family val="2"/>
      <scheme val="minor"/>
    </font>
    <font>
      <b/>
      <sz val="12"/>
      <color theme="0"/>
      <name val="Times New Roman"/>
      <family val="1"/>
    </font>
    <font>
      <sz val="14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3" formatCode="0%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 Risk Rating</a:t>
            </a:r>
          </a:p>
        </c:rich>
      </c:tx>
      <c:layout>
        <c:manualLayout>
          <c:xMode val="edge"/>
          <c:yMode val="edge"/>
          <c:x val="0.33520822397200351"/>
          <c:y val="4.3243243243243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'Executive Dashboard'!$B$15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F5-47B4-AD9C-62E162C1B9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F5-47B4-AD9C-62E162C1B9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F5-47B4-AD9C-62E162C1B9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F5-47B4-AD9C-62E162C1B917}"/>
              </c:ext>
            </c:extLst>
          </c:dPt>
          <c:cat>
            <c:strRef>
              <c:f>'Executive Dashboard'!$A$16:$A$19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'Executive Dashboard'!$B$16:$B$19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A-4BFE-8D04-934892ED5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by</a:t>
            </a:r>
            <a:r>
              <a:rPr lang="en-US" baseline="0"/>
              <a:t> Data Protection Principle</a:t>
            </a:r>
          </a:p>
        </c:rich>
      </c:tx>
      <c:layout>
        <c:manualLayout>
          <c:xMode val="edge"/>
          <c:yMode val="edge"/>
          <c:x val="0.22100418410041844"/>
          <c:y val="4.7619047619047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Dashboard'!$B$25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Dashboard'!$A$26:$A$33</c:f>
              <c:strCache>
                <c:ptCount val="8"/>
                <c:pt idx="0">
                  <c:v>Fairness</c:v>
                </c:pt>
                <c:pt idx="1">
                  <c:v>Transparency</c:v>
                </c:pt>
                <c:pt idx="2">
                  <c:v>Purpose Limitation</c:v>
                </c:pt>
                <c:pt idx="3">
                  <c:v>Data Minimisation</c:v>
                </c:pt>
                <c:pt idx="4">
                  <c:v>Accuracy</c:v>
                </c:pt>
                <c:pt idx="5">
                  <c:v>Storage Limitation</c:v>
                </c:pt>
                <c:pt idx="6">
                  <c:v>Integrity &amp; Confidentiality</c:v>
                </c:pt>
                <c:pt idx="7">
                  <c:v>Accountability</c:v>
                </c:pt>
              </c:strCache>
            </c:strRef>
          </c:cat>
          <c:val>
            <c:numRef>
              <c:f>'Executive Dashboard'!$B$26:$B$33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5-42B6-A025-C30E414D4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1900735"/>
        <c:axId val="1491898655"/>
      </c:barChart>
      <c:catAx>
        <c:axId val="149190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91898655"/>
        <c:crosses val="autoZero"/>
        <c:auto val="1"/>
        <c:lblAlgn val="ctr"/>
        <c:lblOffset val="100"/>
        <c:noMultiLvlLbl val="0"/>
      </c:catAx>
      <c:valAx>
        <c:axId val="149189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9190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Dashboard'!$B$37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44-437E-B5E5-D80102DE5A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44-437E-B5E5-D80102DE5A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44-437E-B5E5-D80102DE5A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544-437E-B5E5-D80102DE5A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544-437E-B5E5-D80102DE5A7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544-437E-B5E5-D80102DE5A76}"/>
              </c:ext>
            </c:extLst>
          </c:dPt>
          <c:cat>
            <c:strRef>
              <c:f>'Executive Dashboard'!$A$38:$A$43</c:f>
              <c:strCache>
                <c:ptCount val="6"/>
                <c:pt idx="0">
                  <c:v>Data Protection Officer</c:v>
                </c:pt>
                <c:pt idx="1">
                  <c:v>Information Security Manager</c:v>
                </c:pt>
                <c:pt idx="2">
                  <c:v>IT Manager</c:v>
                </c:pt>
                <c:pt idx="3">
                  <c:v>Compliance Officer</c:v>
                </c:pt>
                <c:pt idx="4">
                  <c:v>Legal Counsel</c:v>
                </c:pt>
                <c:pt idx="5">
                  <c:v>Operations Manager</c:v>
                </c:pt>
              </c:strCache>
            </c:strRef>
          </c:cat>
          <c:val>
            <c:numRef>
              <c:f>'Executive Dashboard'!$B$38:$B$43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0-43DD-B258-733048638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'Executive Dashboard'!$B$50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03-4CF0-BF6E-A6CE2CA34184}"/>
              </c:ext>
            </c:extLst>
          </c:dPt>
          <c:dPt>
            <c:idx val="1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03-4CF0-BF6E-A6CE2CA34184}"/>
              </c:ext>
            </c:extLst>
          </c:dPt>
          <c:dPt>
            <c:idx val="2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03-4CF0-BF6E-A6CE2CA34184}"/>
              </c:ext>
            </c:extLst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03-4CF0-BF6E-A6CE2CA34184}"/>
              </c:ext>
            </c:extLst>
          </c:dPt>
          <c:dPt>
            <c:idx val="4"/>
            <c:bubble3D val="0"/>
            <c:spPr>
              <a:solidFill>
                <a:schemeClr val="accent6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903-4CF0-BF6E-A6CE2CA34184}"/>
              </c:ext>
            </c:extLst>
          </c:dPt>
          <c:cat>
            <c:strRef>
              <c:f>'Executive Dashboard'!$A$51:$A$54</c:f>
              <c:strCache>
                <c:ptCount val="4"/>
                <c:pt idx="0">
                  <c:v>Approved</c:v>
                </c:pt>
                <c:pt idx="1">
                  <c:v>Conditionally Approved</c:v>
                </c:pt>
                <c:pt idx="2">
                  <c:v>Pending Review</c:v>
                </c:pt>
                <c:pt idx="3">
                  <c:v>Rejected</c:v>
                </c:pt>
              </c:strCache>
            </c:strRef>
          </c:cat>
          <c:val>
            <c:numRef>
              <c:f>'Executive Dashboard'!$B$51:$B$54</c:f>
              <c:numCache>
                <c:formatCode>General</c:formatCode>
                <c:ptCount val="4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2-43EB-BA00-F99138D88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'Executive Dashboard'!$B$4</c:f>
              <c:strCache>
                <c:ptCount val="1"/>
                <c:pt idx="0">
                  <c:v>Formula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E77-4CD6-AE04-D949CA2D3C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E77-4CD6-AE04-D949CA2D3C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E77-4CD6-AE04-D949CA2D3C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E77-4CD6-AE04-D949CA2D3C6B}"/>
              </c:ext>
            </c:extLst>
          </c:dPt>
          <c:cat>
            <c:strRef>
              <c:f>'Executive Dashboard'!$A$5:$A$8</c:f>
              <c:strCache>
                <c:ptCount val="4"/>
                <c:pt idx="0">
                  <c:v>Total Processing Activities</c:v>
                </c:pt>
                <c:pt idx="1">
                  <c:v>Total Privacy Risks</c:v>
                </c:pt>
                <c:pt idx="2">
                  <c:v>High &amp; Very High Risks</c:v>
                </c:pt>
                <c:pt idx="3">
                  <c:v>Overall DPIA Status</c:v>
                </c:pt>
              </c:strCache>
            </c:strRef>
          </c:cat>
          <c:val>
            <c:numRef>
              <c:f>'Executive Dashboard'!$B$5:$B$8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A-42D4-B985-90C353666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12</xdr:row>
      <xdr:rowOff>180974</xdr:rowOff>
    </xdr:from>
    <xdr:to>
      <xdr:col>9</xdr:col>
      <xdr:colOff>466725</xdr:colOff>
      <xdr:row>22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EE48EB-F58E-478F-A541-82EE87C3E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95250</xdr:colOff>
      <xdr:row>24</xdr:row>
      <xdr:rowOff>9525</xdr:rowOff>
    </xdr:from>
    <xdr:to>
      <xdr:col>9</xdr:col>
      <xdr:colOff>381000</xdr:colOff>
      <xdr:row>35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5E3480-CCD1-4C8A-8C4B-B00856E6F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61911</xdr:colOff>
      <xdr:row>37</xdr:row>
      <xdr:rowOff>57150</xdr:rowOff>
    </xdr:from>
    <xdr:to>
      <xdr:col>9</xdr:col>
      <xdr:colOff>409574</xdr:colOff>
      <xdr:row>46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F132A5-3BF8-4820-9C2D-F13CBB1B8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61912</xdr:colOff>
      <xdr:row>49</xdr:row>
      <xdr:rowOff>19051</xdr:rowOff>
    </xdr:from>
    <xdr:to>
      <xdr:col>9</xdr:col>
      <xdr:colOff>457200</xdr:colOff>
      <xdr:row>60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0E260A-1635-4A9A-8494-A6478F818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142875</xdr:colOff>
      <xdr:row>2</xdr:row>
      <xdr:rowOff>0</xdr:rowOff>
    </xdr:from>
    <xdr:to>
      <xdr:col>9</xdr:col>
      <xdr:colOff>523875</xdr:colOff>
      <xdr:row>10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A27CB5-58C1-47D6-8D7F-3D42B5016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81B4E9-0175-4AA0-AAAE-CCCE3D03F49F}" name="tblProcessingActivities" displayName="tblProcessingActivities" ref="A1:T11" totalsRowShown="0">
  <autoFilter ref="A1:T11" xr:uid="{BE81B4E9-0175-4AA0-AAAE-CCCE3D03F49F}"/>
  <tableColumns count="20">
    <tableColumn id="1" xr3:uid="{C984EBFE-6B21-4F5C-8D80-0851E7029A81}" name="Activity ID"/>
    <tableColumn id="2" xr3:uid="{AAD0FA2F-A144-4752-932A-C6C8232B7A08}" name="Processing Activity"/>
    <tableColumn id="3" xr3:uid="{A039BD8E-041F-4EBC-BB26-7A86461DC4B1}" name="Purpose of Processing"/>
    <tableColumn id="4" xr3:uid="{3FF19790-41D7-4470-A594-35BC34720EF7}" name="Department"/>
    <tableColumn id="5" xr3:uid="{D815C985-7719-4AFA-833D-C6A9A6A0BB5C}" name="System/Application"/>
    <tableColumn id="6" xr3:uid="{638947FA-0328-46EC-92A5-9A2AAA87D463}" name="Data Controller"/>
    <tableColumn id="7" xr3:uid="{7E759C7A-BBE5-4F02-93C9-FDA9DC469846}" name="Data Processor"/>
    <tableColumn id="8" xr3:uid="{1ABD2547-EDA3-46A8-8722-A3B1197B2EE0}" name="Data Subjects"/>
    <tableColumn id="9" xr3:uid="{78F351B9-1B62-4195-A627-9554ED42BA6A}" name="Personal Data"/>
    <tableColumn id="10" xr3:uid="{B85FA5A3-C723-49FA-BE82-55B33BF496CA}" name="Special Personal Data"/>
    <tableColumn id="11" xr3:uid="{3DCEE6EE-6F8D-410F-B174-1A5F840D97BF}" name="Lawful Basis"/>
    <tableColumn id="12" xr3:uid="{D554761E-ABC3-471F-8A57-52182E8567FE}" name="Recipients"/>
    <tableColumn id="13" xr3:uid="{BD290DEC-8575-4E3E-80A1-F8B3D93E5EC3}" name="International Transfer"/>
    <tableColumn id="14" xr3:uid="{7571B8A2-54AF-4014-B6BF-FBF839BBAF6D}" name="Destination Country"/>
    <tableColumn id="15" xr3:uid="{6E7C3344-4D47-477B-BA59-54ACAECCD834}" name="Retention Period"/>
    <tableColumn id="16" xr3:uid="{8485F236-67E8-4B98-AA97-D9BA58497B0A}" name="Disposal Method"/>
    <tableColumn id="17" xr3:uid="{A032E573-A744-4736-82B7-4045D5BDB5E9}" name="Existing Controls"/>
    <tableColumn id="18" xr3:uid="{AAB9E542-1406-4333-9FDF-7C9B48CC0771}" name="Risk Level" dataDxfId="15">
      <calculatedColumnFormula array="1">_xlfn.IFS(
AND(tblProcessingActivities[[#This Row],[Special Personal Data]]="Yes",tblProcessingActivities[[#This Row],[International Transfer]]="Yes"),"Very High",
OR(tblProcessingActivities[[#This Row],[Special Personal Data]]="Yes",tblProcessingActivities[[#This Row],[International Transfer]]="Yes"),"High",
tblProcessingActivities[[#This Row],[Lawful Basis]]="Consent","Medium",
TRUE,"Low"
)</calculatedColumnFormula>
    </tableColumn>
    <tableColumn id="19" xr3:uid="{0EE76388-535F-4E64-A965-0A51BA069B9B}" name="DPIA Required" dataDxfId="14">
      <calculatedColumnFormula>IF(OR(tblProcessingActivities[[#This Row],[Risk Level]]="High",tblProcessingActivities[[#This Row],[Risk Level]]="Very High"),"Yes","No")</calculatedColumnFormula>
    </tableColumn>
    <tableColumn id="20" xr3:uid="{714D0520-CB4D-4A0F-B003-D716CCA5C10B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1B2FD3-F1C1-4215-A975-9AF8D37EED46}" name="Table4" displayName="Table4" ref="A1:P11" totalsRowShown="0">
  <autoFilter ref="A1:P11" xr:uid="{C61B2FD3-F1C1-4215-A975-9AF8D37EED46}"/>
  <tableColumns count="16">
    <tableColumn id="1" xr3:uid="{21239CDE-AFF4-49CB-ADC1-1903F5850BF0}" name="Assessment ID"/>
    <tableColumn id="2" xr3:uid="{0710BB68-7DF0-4797-B5D8-4D7F43726900}" name="Activity ID"/>
    <tableColumn id="3" xr3:uid="{53AC6ECF-176A-46A7-8476-9AA239918BD9}" name="Processing Activity"/>
    <tableColumn id="4" xr3:uid="{D2F4ABAC-587F-4E65-935B-CBABF44523C4}" name="Purpose Clearly Defined?"/>
    <tableColumn id="5" xr3:uid="{01E12816-FE2B-4B12-8C9D-A7C35CE045F3}" name="Processing Necessary?"/>
    <tableColumn id="6" xr3:uid="{93140F08-C445-4AC1-A934-1C0043B6CAC1}" name="Processing Proportionate?"/>
    <tableColumn id="7" xr3:uid="{04B5D061-8520-427F-BA7D-957637F88E71}" name="Lawful Basis Appropriate?"/>
    <tableColumn id="8" xr3:uid="{AB0E5004-7D0A-4E1C-8110-D637421F3A7D}" name="Data Minimisation Applied?"/>
    <tableColumn id="9" xr3:uid="{8778CCC4-FF33-4196-9A56-322FFAABA9B0}" name="Accuracy Measures in Place?"/>
    <tableColumn id="10" xr3:uid="{4C15FE27-517F-46AC-9C58-382DA9DBD902}" name="Retention Appropriate?"/>
    <tableColumn id="11" xr3:uid="{F8F66D10-E61C-42CA-B242-126EC084FA93}" name="Security Measures Adequate?"/>
    <tableColumn id="12" xr3:uid="{714111E1-C92E-4B7B-877B-B240E71C16F6}" name="Transparency Provided?"/>
    <tableColumn id="13" xr3:uid="{423A1778-E7A4-4983-8E00-22887260E1ED}" name="Data Subject Rights Supported?"/>
    <tableColumn id="14" xr3:uid="{248B6113-95AE-4D5C-B6DD-0346FD96D51E}" name="Compliance Score">
      <calculatedColumnFormula>SUM(
_xlfn.XLOOKUP(D2,{"Yes","Partially","No"},{2,1,0}),
_xlfn.XLOOKUP(E2,{"Yes","Partially","No"},{2,1,0}),
_xlfn.XLOOKUP(F2,{"Yes","Partially","No"},{2,1,0}),
_xlfn.XLOOKUP(G2,{"Yes","Partially","No"},{2,1,0}),
_xlfn.XLOOKUP(H2,{"Yes","Partially","No"},{2,1,0}),
_xlfn.XLOOKUP(I2,{"Yes","Partially","No"},{2,1,0}),
_xlfn.XLOOKUP(J2,{"Yes","Partially","No"},{2,1,0}),
_xlfn.XLOOKUP(K2,{"Yes","Partially","No"},{2,1,0}),
_xlfn.XLOOKUP(L2,{"Yes","Partially","No"},{2,1,0}),
_xlfn.XLOOKUP(M2,{"Yes","Partially","No"},{2,1,0})
)</calculatedColumnFormula>
    </tableColumn>
    <tableColumn id="15" xr3:uid="{AD6718FC-479E-46E7-8F0C-BB241A97EF2C}" name="Overall Compliance">
      <calculatedColumnFormula array="1">_xlfn.IFS(
N2&gt;=18,"Compliant",
N2&gt;=14,"Mostly Compliant",
N2&gt;=10,"Partially Compliant",
TRUE,"Non-Compliant"
)</calculatedColumnFormula>
    </tableColumn>
    <tableColumn id="16" xr3:uid="{08321E57-E727-47C3-A675-A4EEA55165EB}" name="Recommendation">
      <calculatedColumnFormula array="1">_xlfn.IFS(
O2="Compliant","Proceed",
O2="Mostly Compliant","Proceed with Minor Improvements",
O2="Partially Compliant","Implement Corrective Actions",
O2="Non-Compliant","Redesign Processing Activity"
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974ADB4-EFA2-420E-A5BC-90220811483F}" name="tblPrivacyRiskAssessment" displayName="tblPrivacyRiskAssessment" ref="A1:R11" totalsRowShown="0">
  <autoFilter ref="A1:R11" xr:uid="{3974ADB4-EFA2-420E-A5BC-90220811483F}"/>
  <tableColumns count="18">
    <tableColumn id="1" xr3:uid="{EDA63715-902A-4717-A3CC-8A5AFFA628AA}" name="Risk ID"/>
    <tableColumn id="2" xr3:uid="{070B6479-8D72-463B-9EA1-4ACC60AF3011}" name="Activity ID"/>
    <tableColumn id="3" xr3:uid="{8EEFFD90-A694-42D2-8B29-379855C4DCE4}" name="Processing Activity"/>
    <tableColumn id="4" xr3:uid="{F499490C-10DE-42DB-A25B-3F815003F0D6}" name="Privacy Risk"/>
    <tableColumn id="5" xr3:uid="{D2B6F312-01F8-46A5-9C44-8A4B1FE19C9C}" name="Data Protection Principle Affected"/>
    <tableColumn id="7" xr3:uid="{24A64A20-5F05-4811-95A4-77E30F3BE123}" name="Likelihood"/>
    <tableColumn id="8" xr3:uid="{976BC763-5561-4ACF-AD21-F6402C84467D}" name="Impact"/>
    <tableColumn id="9" xr3:uid="{05AF59BA-FB37-4813-80D9-F4D3D81ABE25}" name="Inherent Risk Score">
      <calculatedColumnFormula>(MATCH(F2,{"Rare","Unlikely","Possible","Likely","Almost Certain"},0))
*
(MATCH(G2,{"Insignificant","Minor","Moderate","Major","Severe"},0))</calculatedColumnFormula>
    </tableColumn>
    <tableColumn id="10" xr3:uid="{F1C5EAD0-7A95-43EF-922D-F32DA3031EAB}" name="Inherent Risk Rating">
      <calculatedColumnFormula array="1">_xlfn.IFS(
H2&lt;=4,"Low",
H2&lt;=9,"Medium",
H2&lt;=16,"High",
TRUE,"Very High"
)</calculatedColumnFormula>
    </tableColumn>
    <tableColumn id="6" xr3:uid="{CC0C41F7-775F-43AA-880B-8E564D101F01}" name="Existing Control"/>
    <tableColumn id="11" xr3:uid="{831C9530-D417-4510-BFC3-3589085F8446}" name="Control Effectiveness"/>
    <tableColumn id="12" xr3:uid="{CA2FBD8F-C2A8-48A8-A856-08990BAF380B}" name="Residual Risk Score">
      <calculatedColumnFormula array="1">ROUND(
H2*
(1-
_xlfn.XLOOKUP(
K2,
{"Very Effective","Effective","Partially Effective","Ineffective"},
{0.6,0.4,0.2,0}
)
),
0)</calculatedColumnFormula>
    </tableColumn>
    <tableColumn id="13" xr3:uid="{F6AFB19A-ADF7-4175-85E6-2ECCF23E65FB}" name="Residual Risk Rating">
      <calculatedColumnFormula array="1">_xlfn.IFS(
L2&lt;=4,"Low",
L2&lt;=9,"Medium",
L2&lt;=16,"High",
TRUE,"Very High"
)</calculatedColumnFormula>
    </tableColumn>
    <tableColumn id="14" xr3:uid="{987CE3D6-620D-405D-85CC-5E9B8365A2FB}" name="Risk Treatment">
      <calculatedColumnFormula array="1">_xlfn.IFS(
M2="Low","Accept",
M2="Medium","Monitor",
M2="High","Mitigate",
M2="Very High","Avoid"
)</calculatedColumnFormula>
    </tableColumn>
    <tableColumn id="15" xr3:uid="{FA8CA5BD-800B-4AD7-BC2A-EB62036D569C}" name="Risk Owner"/>
    <tableColumn id="16" xr3:uid="{E0006CCE-84AA-4C1B-8047-1AEBBEAB804C}" name="Target Date" dataDxfId="13"/>
    <tableColumn id="17" xr3:uid="{20975492-8DBF-4B9C-8EEB-AEE3A06C8ED0}" name="Status"/>
    <tableColumn id="18" xr3:uid="{12A433CF-F8B2-4922-801C-E32DC2DB95C6}" name="Remar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75DDE50-0532-4642-BAF0-B1A3F71A87DB}" name="Table17" displayName="Table17" ref="A4:B8" totalsRowShown="0">
  <autoFilter ref="A4:B8" xr:uid="{175DDE50-0532-4642-BAF0-B1A3F71A87DB}"/>
  <tableColumns count="2">
    <tableColumn id="1" xr3:uid="{66F97388-E23A-4D3A-BBBD-1AF45F9B1D06}" name="KPI"/>
    <tableColumn id="2" xr3:uid="{3E3BB09B-E1BA-4D19-94CC-9511F3F8D974}" name="Formul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43CFF64-E3CC-4AEA-AAA7-746B84D45174}" name="Table18" displayName="Table18" ref="A15:B19" totalsRowShown="0">
  <autoFilter ref="A15:B19" xr:uid="{C43CFF64-E3CC-4AEA-AAA7-746B84D45174}"/>
  <tableColumns count="2">
    <tableColumn id="1" xr3:uid="{10DF36A8-636D-49A0-8B44-EFE9FCA91C64}" name="Residual Risk Rating"/>
    <tableColumn id="2" xr3:uid="{174A72D5-5FA1-4FBD-A5CA-9DAADBB34790}" name="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81E1881-FBC6-494D-9685-0D149449B34C}" name="Table19" displayName="Table19" ref="A25:B33" totalsRowShown="0">
  <autoFilter ref="A25:B33" xr:uid="{F81E1881-FBC6-494D-9685-0D149449B34C}"/>
  <tableColumns count="2">
    <tableColumn id="1" xr3:uid="{1AC398E9-F6BC-4AE2-90EB-41C210DAA6BD}" name="Lawfulness"/>
    <tableColumn id="2" xr3:uid="{AF22EB30-0C9B-4B92-9830-9636F1BD018C}" name="Column1" dataDxfId="12">
      <calculatedColumnFormula>COUNTIF(tblPrivacyRiskAssessment[Data Protection Principle Affected],I5)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A3721D5-757B-46E6-923B-A889D286C5D7}" name="Table20" displayName="Table20" ref="A37:B43" totalsRowShown="0">
  <autoFilter ref="A37:B43" xr:uid="{CA3721D5-757B-46E6-923B-A889D286C5D7}"/>
  <tableColumns count="2">
    <tableColumn id="1" xr3:uid="{840C873F-A1F6-4706-BF3C-3C47356267D5}" name="Risk Owner"/>
    <tableColumn id="2" xr3:uid="{BDE124D6-CEB6-4DD4-8CC2-C349E62749F1}" name="Cou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C60D9B3-43E9-407E-B9C4-5B0DB393C190}" name="Table21" displayName="Table21" ref="A50:B54" totalsRowShown="0">
  <autoFilter ref="A50:B54" xr:uid="{6C60D9B3-43E9-407E-B9C4-5B0DB393C190}"/>
  <tableColumns count="2">
    <tableColumn id="1" xr3:uid="{8CEF7578-EAC9-428F-AF04-BFA3D116A5A5}" name="Decision"/>
    <tableColumn id="2" xr3:uid="{79DCA089-B63C-41F2-8C9D-AFBBB188E28B}" name="Cou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24189B-FE82-4337-A593-862EDD08628D}" name="Table3" displayName="Table3" ref="A1:B4" totalsRowShown="0">
  <autoFilter ref="A1:B4" xr:uid="{A424189B-FE82-4337-A593-862EDD08628D}"/>
  <tableColumns count="2">
    <tableColumn id="1" xr3:uid="{124EE28A-2D43-4C94-8C50-2B14A197A0F3}" name="Response"/>
    <tableColumn id="2" xr3:uid="{20C3E066-3F38-4D81-8744-F7048BE54ACF}" name="Sco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8056C7-AE2D-4AA2-A859-E520414F4D76}" name="Table5" displayName="Table5" ref="D1:D10" totalsRowShown="0">
  <autoFilter ref="D1:D10" xr:uid="{2E8056C7-AE2D-4AA2-A859-E520414F4D76}"/>
  <tableColumns count="1">
    <tableColumn id="1" xr3:uid="{FF62DFD7-B09B-4E93-A6E7-9886BE1B2FE3}" name="Data Principl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F0ACF8-ADA0-48AE-A4CE-FCA47261F633}" name="Table6" displayName="Table6" ref="F1:F9" totalsRowShown="0">
  <autoFilter ref="F1:F9" xr:uid="{9FF0ACF8-ADA0-48AE-A4CE-FCA47261F633}"/>
  <tableColumns count="1">
    <tableColumn id="1" xr3:uid="{ADCB6D8C-1F56-4DA2-8FB1-5DFEF79E814F}" name="Existing Control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0BFD3B-E3D3-45EE-8FC0-20D9770BB18A}" name="Table7" displayName="Table7" ref="H1:I6" totalsRowShown="0">
  <autoFilter ref="H1:I6" xr:uid="{420BFD3B-E3D3-45EE-8FC0-20D9770BB18A}"/>
  <tableColumns count="2">
    <tableColumn id="1" xr3:uid="{91493E58-CDCA-4F30-89D0-CEA8056E049E}" name="Likelihood"/>
    <tableColumn id="2" xr3:uid="{F07432A6-449D-419F-BE5F-C6162E0B589A}" name="Sco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58002D8-54E6-4A6F-9482-B0FFD46C6ADA}" name="Table8" displayName="Table8" ref="K1:L6" totalsRowShown="0">
  <autoFilter ref="K1:L6" xr:uid="{E58002D8-54E6-4A6F-9482-B0FFD46C6ADA}"/>
  <tableColumns count="2">
    <tableColumn id="1" xr3:uid="{BB103762-4368-4BB5-A2E3-6CE4B282E366}" name="Impact"/>
    <tableColumn id="2" xr3:uid="{92844019-AB1C-4627-8E22-1B9058E11787}" name="Sco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1E3767-0A3E-4923-A1FE-1EC2B7D7FB80}" name="Table9" displayName="Table9" ref="N1:N5" totalsRowShown="0">
  <autoFilter ref="N1:N5" xr:uid="{AD1E3767-0A3E-4923-A1FE-1EC2B7D7FB80}"/>
  <tableColumns count="1">
    <tableColumn id="1" xr3:uid="{E35B3831-D567-42FD-9744-ADE9ABEBD52A}" name="Control Effectivenes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3BDA881-AA38-4EA8-AA7C-599E922EA785}" name="Table10" displayName="Table10" ref="P1:Q5" totalsRowShown="0">
  <autoFilter ref="P1:Q5" xr:uid="{73BDA881-AA38-4EA8-AA7C-599E922EA785}"/>
  <tableColumns count="2">
    <tableColumn id="1" xr3:uid="{8B5E9F20-5F5E-4BBF-BB25-91DC9F88F210}" name="Control Effectiveness"/>
    <tableColumn id="2" xr3:uid="{5EC718A5-45E1-46FC-A258-487782F3532F}" name="Reduction" dataDxfId="1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3297C07-F118-4945-A42B-1A286DF3B38B}" name="Table12" displayName="Table12" ref="S1:S7" totalsRowShown="0">
  <autoFilter ref="S1:S7" xr:uid="{93297C07-F118-4945-A42B-1A286DF3B38B}"/>
  <tableColumns count="1">
    <tableColumn id="1" xr3:uid="{D04997C4-A861-456C-B0B5-1C925B139179}" name="Risk Owner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45C45B4-DC40-4432-9A5A-A687E84A7AEF}" name="Table13" displayName="Table13" ref="U1:U5" totalsRowShown="0">
  <autoFilter ref="U1:U5" xr:uid="{F45C45B4-DC40-4432-9A5A-A687E84A7AEF}"/>
  <tableColumns count="1">
    <tableColumn id="1" xr3:uid="{51ED2B5C-10E4-44A8-AB14-1F7D1F3ECDE0}" name="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3AA5308-D365-480A-A847-313B4B0178E4}" name="Table15" displayName="Table15" ref="W1:W6" totalsRowShown="0">
  <autoFilter ref="W1:W6" xr:uid="{53AA5308-D365-480A-A847-313B4B0178E4}"/>
  <tableColumns count="1">
    <tableColumn id="1" xr3:uid="{D75B8FD8-D303-458B-AADB-7292890FDD78}" name="Approval 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22A224E-0E0E-4040-A33B-AE0AFD6C10E2}" name="Table16" displayName="Table16" ref="Y1:Y4" totalsRowShown="0">
  <autoFilter ref="Y1:Y4" xr:uid="{D22A224E-0E0E-4040-A33B-AE0AFD6C10E2}"/>
  <tableColumns count="1">
    <tableColumn id="1" xr3:uid="{C942E44D-80A2-4A94-97CF-FB29C90B7716}" name="Signat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11" Type="http://schemas.openxmlformats.org/officeDocument/2006/relationships/table" Target="../tables/table19.xml"/><Relationship Id="rId5" Type="http://schemas.openxmlformats.org/officeDocument/2006/relationships/table" Target="../tables/table13.xml"/><Relationship Id="rId10" Type="http://schemas.openxmlformats.org/officeDocument/2006/relationships/table" Target="../tables/table18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A454-2B3D-403B-96A0-B8D24EABFD6B}">
  <dimension ref="A1:B212"/>
  <sheetViews>
    <sheetView tabSelected="1" zoomScale="115" zoomScaleNormal="115" workbookViewId="0">
      <selection activeCell="B19" sqref="B19"/>
    </sheetView>
  </sheetViews>
  <sheetFormatPr defaultRowHeight="15" x14ac:dyDescent="0.25"/>
  <cols>
    <col min="1" max="1" width="48.85546875" bestFit="1" customWidth="1"/>
    <col min="2" max="2" width="158.28515625" bestFit="1" customWidth="1"/>
  </cols>
  <sheetData>
    <row r="1" spans="1:2" ht="18.75" x14ac:dyDescent="0.3">
      <c r="A1" s="7" t="s">
        <v>25</v>
      </c>
      <c r="B1" s="8"/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s="2">
        <v>46235</v>
      </c>
    </row>
    <row r="13" spans="1:2" x14ac:dyDescent="0.25">
      <c r="A13" t="s">
        <v>21</v>
      </c>
      <c r="B13" s="2">
        <v>46388</v>
      </c>
    </row>
    <row r="14" spans="1:2" x14ac:dyDescent="0.25">
      <c r="A14" t="s">
        <v>22</v>
      </c>
      <c r="B14" s="3">
        <v>1</v>
      </c>
    </row>
    <row r="15" spans="1:2" x14ac:dyDescent="0.25">
      <c r="A15" t="s">
        <v>23</v>
      </c>
      <c r="B15" t="s">
        <v>24</v>
      </c>
    </row>
    <row r="17" spans="1:2" ht="18.75" x14ac:dyDescent="0.3">
      <c r="A17" s="7" t="s">
        <v>26</v>
      </c>
      <c r="B17" s="8"/>
    </row>
    <row r="18" spans="1:2" x14ac:dyDescent="0.25">
      <c r="A18" t="s">
        <v>27</v>
      </c>
      <c r="B18" t="s">
        <v>340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34</v>
      </c>
      <c r="B22" t="s">
        <v>35</v>
      </c>
    </row>
    <row r="23" spans="1:2" x14ac:dyDescent="0.25">
      <c r="A23" t="s">
        <v>36</v>
      </c>
      <c r="B23" t="s">
        <v>37</v>
      </c>
    </row>
    <row r="24" spans="1:2" x14ac:dyDescent="0.25">
      <c r="A24" t="s">
        <v>38</v>
      </c>
      <c r="B24" t="s">
        <v>37</v>
      </c>
    </row>
    <row r="25" spans="1:2" x14ac:dyDescent="0.25">
      <c r="A25" t="s">
        <v>39</v>
      </c>
      <c r="B25" t="s">
        <v>37</v>
      </c>
    </row>
    <row r="26" spans="1:2" x14ac:dyDescent="0.25">
      <c r="A26" t="s">
        <v>40</v>
      </c>
      <c r="B26" t="s">
        <v>37</v>
      </c>
    </row>
    <row r="28" spans="1:2" ht="18.75" x14ac:dyDescent="0.3">
      <c r="A28" s="7" t="s">
        <v>41</v>
      </c>
      <c r="B28" s="8"/>
    </row>
    <row r="29" spans="1:2" x14ac:dyDescent="0.25">
      <c r="A29" t="s">
        <v>43</v>
      </c>
      <c r="B29" t="s">
        <v>37</v>
      </c>
    </row>
    <row r="30" spans="1:2" x14ac:dyDescent="0.25">
      <c r="A30" t="s">
        <v>44</v>
      </c>
      <c r="B30" t="s">
        <v>37</v>
      </c>
    </row>
    <row r="31" spans="1:2" x14ac:dyDescent="0.25">
      <c r="A31" t="s">
        <v>45</v>
      </c>
      <c r="B31" t="s">
        <v>37</v>
      </c>
    </row>
    <row r="32" spans="1:2" x14ac:dyDescent="0.25">
      <c r="A32" t="s">
        <v>46</v>
      </c>
      <c r="B32" t="s">
        <v>37</v>
      </c>
    </row>
    <row r="33" spans="1:2" x14ac:dyDescent="0.25">
      <c r="A33" t="s">
        <v>47</v>
      </c>
      <c r="B33" t="s">
        <v>48</v>
      </c>
    </row>
    <row r="34" spans="1:2" x14ac:dyDescent="0.25">
      <c r="A34" t="s">
        <v>49</v>
      </c>
      <c r="B34" t="s">
        <v>48</v>
      </c>
    </row>
    <row r="35" spans="1:2" x14ac:dyDescent="0.25">
      <c r="A35" t="s">
        <v>50</v>
      </c>
      <c r="B35" t="s">
        <v>37</v>
      </c>
    </row>
    <row r="36" spans="1:2" x14ac:dyDescent="0.25">
      <c r="A36" t="s">
        <v>51</v>
      </c>
      <c r="B36" t="s">
        <v>37</v>
      </c>
    </row>
    <row r="37" spans="1:2" x14ac:dyDescent="0.25">
      <c r="A37" t="s">
        <v>52</v>
      </c>
      <c r="B37" t="s">
        <v>37</v>
      </c>
    </row>
    <row r="38" spans="1:2" x14ac:dyDescent="0.25">
      <c r="A38" t="s">
        <v>53</v>
      </c>
      <c r="B38" t="s">
        <v>37</v>
      </c>
    </row>
    <row r="40" spans="1:2" ht="18.75" x14ac:dyDescent="0.3">
      <c r="A40" s="7" t="s">
        <v>54</v>
      </c>
      <c r="B40" s="8"/>
    </row>
    <row r="41" spans="1:2" x14ac:dyDescent="0.25">
      <c r="A41" t="s">
        <v>42</v>
      </c>
      <c r="B41" t="s">
        <v>55</v>
      </c>
    </row>
    <row r="42" spans="1:2" x14ac:dyDescent="0.25">
      <c r="A42" t="s">
        <v>37</v>
      </c>
      <c r="B42" s="3">
        <v>1</v>
      </c>
    </row>
    <row r="43" spans="1:2" x14ac:dyDescent="0.25">
      <c r="A43" t="s">
        <v>48</v>
      </c>
      <c r="B43" s="3">
        <v>0</v>
      </c>
    </row>
    <row r="44" spans="1:2" x14ac:dyDescent="0.25">
      <c r="A44" t="s">
        <v>56</v>
      </c>
      <c r="B44" s="3">
        <f>COUNTIF(B29:B38,"Yes")</f>
        <v>8</v>
      </c>
    </row>
    <row r="45" spans="1:2" x14ac:dyDescent="0.25">
      <c r="B45" s="3"/>
    </row>
    <row r="46" spans="1:2" ht="18.75" x14ac:dyDescent="0.3">
      <c r="A46" s="7" t="s">
        <v>58</v>
      </c>
      <c r="B46" s="8"/>
    </row>
    <row r="47" spans="1:2" x14ac:dyDescent="0.25">
      <c r="A47" t="s">
        <v>57</v>
      </c>
      <c r="B47" t="str">
        <f>IF(B44&gt;=3,"DPIA Required","DPIA May Not Be Required")</f>
        <v>DPIA Required</v>
      </c>
    </row>
    <row r="48" spans="1:2" x14ac:dyDescent="0.25">
      <c r="A48" t="s">
        <v>59</v>
      </c>
      <c r="B48" t="str" cm="1">
        <f t="array" ref="B48">_xlfn.IFS(
B44&gt;=8,"Very High",
B44&gt;=6,"High",
B44&gt;=4,"Medium",
TRUE,"Low"
)</f>
        <v>Very High</v>
      </c>
    </row>
    <row r="49" spans="1:2" x14ac:dyDescent="0.25">
      <c r="A49" t="s">
        <v>60</v>
      </c>
      <c r="B49" t="str">
        <f>IF(B48="Very High",
"Proceed with Full DPIA",
"Proceed with Standard Assessment")</f>
        <v>Proceed with Full DPIA</v>
      </c>
    </row>
    <row r="212" spans="1:1" x14ac:dyDescent="0.25">
      <c r="A212" t="s">
        <v>339</v>
      </c>
    </row>
  </sheetData>
  <mergeCells count="5">
    <mergeCell ref="A1:B1"/>
    <mergeCell ref="A17:B17"/>
    <mergeCell ref="A28:B28"/>
    <mergeCell ref="A40:B40"/>
    <mergeCell ref="A46:B4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1025-9AB8-44E4-B070-13FE93B77CDC}">
  <dimension ref="A1:T11"/>
  <sheetViews>
    <sheetView workbookViewId="0">
      <selection activeCell="G9" sqref="G9"/>
    </sheetView>
  </sheetViews>
  <sheetFormatPr defaultRowHeight="15" x14ac:dyDescent="0.25"/>
  <cols>
    <col min="1" max="1" width="12.140625" customWidth="1"/>
    <col min="2" max="2" width="21.140625" bestFit="1" customWidth="1"/>
    <col min="3" max="3" width="26.42578125" bestFit="1" customWidth="1"/>
    <col min="4" max="4" width="15.85546875" bestFit="1" customWidth="1"/>
    <col min="5" max="5" width="20.5703125" customWidth="1"/>
    <col min="6" max="6" width="16.5703125" customWidth="1"/>
    <col min="7" max="7" width="18.140625" bestFit="1" customWidth="1"/>
    <col min="8" max="8" width="26.28515625" bestFit="1" customWidth="1"/>
    <col min="9" max="9" width="37.140625" bestFit="1" customWidth="1"/>
    <col min="10" max="10" width="22" customWidth="1"/>
    <col min="11" max="11" width="22" bestFit="1" customWidth="1"/>
    <col min="12" max="12" width="17.28515625" bestFit="1" customWidth="1"/>
    <col min="13" max="13" width="22.42578125" customWidth="1"/>
    <col min="14" max="14" width="20.85546875" customWidth="1"/>
    <col min="15" max="15" width="18.28515625" customWidth="1"/>
    <col min="16" max="16" width="18.140625" customWidth="1"/>
    <col min="17" max="17" width="21.5703125" bestFit="1" customWidth="1"/>
    <col min="18" max="18" width="11.85546875" customWidth="1"/>
    <col min="19" max="19" width="16" customWidth="1"/>
    <col min="20" max="20" width="10.7109375" customWidth="1"/>
  </cols>
  <sheetData>
    <row r="1" spans="1:20" x14ac:dyDescent="0.25">
      <c r="A1" t="s">
        <v>61</v>
      </c>
      <c r="B1" t="s">
        <v>62</v>
      </c>
      <c r="C1" t="s">
        <v>28</v>
      </c>
      <c r="D1" t="s">
        <v>8</v>
      </c>
      <c r="E1" t="s">
        <v>63</v>
      </c>
      <c r="F1" t="s">
        <v>64</v>
      </c>
      <c r="G1" t="s">
        <v>65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162</v>
      </c>
      <c r="Q1" t="s">
        <v>116</v>
      </c>
      <c r="R1" t="s">
        <v>159</v>
      </c>
      <c r="S1" t="s">
        <v>160</v>
      </c>
      <c r="T1" t="s">
        <v>161</v>
      </c>
    </row>
    <row r="2" spans="1:20" x14ac:dyDescent="0.25">
      <c r="A2" t="s">
        <v>67</v>
      </c>
      <c r="B2" t="s">
        <v>68</v>
      </c>
      <c r="C2" t="s">
        <v>117</v>
      </c>
      <c r="D2" t="s">
        <v>69</v>
      </c>
      <c r="E2" t="s">
        <v>70</v>
      </c>
      <c r="F2" t="s">
        <v>71</v>
      </c>
      <c r="G2" t="s">
        <v>72</v>
      </c>
      <c r="H2" t="s">
        <v>118</v>
      </c>
      <c r="I2" t="s">
        <v>119</v>
      </c>
      <c r="J2" t="s">
        <v>48</v>
      </c>
      <c r="K2" t="s">
        <v>268</v>
      </c>
      <c r="L2" t="s">
        <v>121</v>
      </c>
      <c r="M2" t="s">
        <v>37</v>
      </c>
      <c r="N2" t="s">
        <v>122</v>
      </c>
      <c r="O2" t="s">
        <v>123</v>
      </c>
      <c r="P2" t="s">
        <v>163</v>
      </c>
      <c r="Q2" t="s">
        <v>124</v>
      </c>
      <c r="R2" t="str" cm="1">
        <f t="array" ref="R2">_xlfn.IFS(
AND(tblProcessingActivities[[#This Row],[Special Personal Data]]="Yes",tblProcessingActivities[[#This Row],[International Transfer]]="Yes"),"Very High",
OR(tblProcessingActivities[[#This Row],[Special Personal Data]]="Yes",tblProcessingActivities[[#This Row],[International Transfer]]="Yes"),"High",
tblProcessingActivities[[#This Row],[Lawful Basis]]="Consent","Medium",
TRUE,"Low"
)</f>
        <v>High</v>
      </c>
      <c r="S2" t="str">
        <f>IF(OR(tblProcessingActivities[[#This Row],[Risk Level]]="High",tblProcessingActivities[[#This Row],[Risk Level]]="Very High"),"Yes","No")</f>
        <v>Yes</v>
      </c>
    </row>
    <row r="3" spans="1:20" x14ac:dyDescent="0.25">
      <c r="A3" t="s">
        <v>73</v>
      </c>
      <c r="B3" t="s">
        <v>74</v>
      </c>
      <c r="C3" t="s">
        <v>75</v>
      </c>
      <c r="D3" t="s">
        <v>76</v>
      </c>
      <c r="E3" t="s">
        <v>70</v>
      </c>
      <c r="F3" t="s">
        <v>71</v>
      </c>
      <c r="G3" t="s">
        <v>72</v>
      </c>
      <c r="H3" t="s">
        <v>125</v>
      </c>
      <c r="I3" t="s">
        <v>126</v>
      </c>
      <c r="J3" t="s">
        <v>37</v>
      </c>
      <c r="K3" t="s">
        <v>127</v>
      </c>
      <c r="L3" t="s">
        <v>128</v>
      </c>
      <c r="M3" t="s">
        <v>37</v>
      </c>
      <c r="N3" t="s">
        <v>122</v>
      </c>
      <c r="O3" t="s">
        <v>123</v>
      </c>
      <c r="P3" t="s">
        <v>163</v>
      </c>
      <c r="Q3" t="s">
        <v>129</v>
      </c>
      <c r="R3" t="str" cm="1">
        <f t="array" ref="R3">_xlfn.IFS(
AND(tblProcessingActivities[[#This Row],[Special Personal Data]]="Yes",tblProcessingActivities[[#This Row],[International Transfer]]="Yes"),"Very High",
OR(tblProcessingActivities[[#This Row],[Special Personal Data]]="Yes",tblProcessingActivities[[#This Row],[International Transfer]]="Yes"),"High",
tblProcessingActivities[[#This Row],[Lawful Basis]]="Consent","Medium",
TRUE,"Low"
)</f>
        <v>Very High</v>
      </c>
      <c r="S3" t="str">
        <f>IF(OR(tblProcessingActivities[[#This Row],[Risk Level]]="High",tblProcessingActivities[[#This Row],[Risk Level]]="Very High"),"Yes","No")</f>
        <v>Yes</v>
      </c>
    </row>
    <row r="4" spans="1:20" x14ac:dyDescent="0.25">
      <c r="A4" t="s">
        <v>77</v>
      </c>
      <c r="B4" t="s">
        <v>78</v>
      </c>
      <c r="C4" t="s">
        <v>79</v>
      </c>
      <c r="D4" t="s">
        <v>80</v>
      </c>
      <c r="E4" t="s">
        <v>70</v>
      </c>
      <c r="F4" t="s">
        <v>71</v>
      </c>
      <c r="G4" t="s">
        <v>72</v>
      </c>
      <c r="H4" t="s">
        <v>125</v>
      </c>
      <c r="I4" t="s">
        <v>130</v>
      </c>
      <c r="J4" t="s">
        <v>48</v>
      </c>
      <c r="K4" t="s">
        <v>120</v>
      </c>
      <c r="L4" t="s">
        <v>131</v>
      </c>
      <c r="M4" t="s">
        <v>37</v>
      </c>
      <c r="N4" t="s">
        <v>122</v>
      </c>
      <c r="O4" t="s">
        <v>123</v>
      </c>
      <c r="P4" t="s">
        <v>163</v>
      </c>
      <c r="Q4" t="s">
        <v>132</v>
      </c>
      <c r="R4" t="str" cm="1">
        <f t="array" ref="R4">_xlfn.IFS(
AND(tblProcessingActivities[[#This Row],[Special Personal Data]]="Yes",tblProcessingActivities[[#This Row],[International Transfer]]="Yes"),"Very High",
OR(tblProcessingActivities[[#This Row],[Special Personal Data]]="Yes",tblProcessingActivities[[#This Row],[International Transfer]]="Yes"),"High",
tblProcessingActivities[[#This Row],[Lawful Basis]]="Consent","Medium",
TRUE,"Low"
)</f>
        <v>High</v>
      </c>
      <c r="S4" t="str">
        <f>IF(OR(tblProcessingActivities[[#This Row],[Risk Level]]="High",tblProcessingActivities[[#This Row],[Risk Level]]="Very High"),"Yes","No")</f>
        <v>Yes</v>
      </c>
    </row>
    <row r="5" spans="1:20" x14ac:dyDescent="0.25">
      <c r="A5" t="s">
        <v>81</v>
      </c>
      <c r="B5" t="s">
        <v>82</v>
      </c>
      <c r="C5" t="s">
        <v>133</v>
      </c>
      <c r="D5" t="s">
        <v>80</v>
      </c>
      <c r="E5" t="s">
        <v>70</v>
      </c>
      <c r="F5" t="s">
        <v>71</v>
      </c>
      <c r="G5" t="s">
        <v>72</v>
      </c>
      <c r="H5" t="s">
        <v>125</v>
      </c>
      <c r="I5" t="s">
        <v>134</v>
      </c>
      <c r="J5" t="s">
        <v>37</v>
      </c>
      <c r="K5" t="s">
        <v>267</v>
      </c>
      <c r="L5" t="s">
        <v>131</v>
      </c>
      <c r="M5" t="s">
        <v>37</v>
      </c>
      <c r="N5" t="s">
        <v>122</v>
      </c>
      <c r="O5" t="s">
        <v>135</v>
      </c>
      <c r="P5" t="s">
        <v>163</v>
      </c>
      <c r="Q5" t="s">
        <v>136</v>
      </c>
      <c r="R5" t="str" cm="1">
        <f t="array" ref="R5">_xlfn.IFS(
AND(tblProcessingActivities[[#This Row],[Special Personal Data]]="Yes",tblProcessingActivities[[#This Row],[International Transfer]]="Yes"),"Very High",
OR(tblProcessingActivities[[#This Row],[Special Personal Data]]="Yes",tblProcessingActivities[[#This Row],[International Transfer]]="Yes"),"High",
tblProcessingActivities[[#This Row],[Lawful Basis]]="Consent","Medium",
TRUE,"Low"
)</f>
        <v>Very High</v>
      </c>
      <c r="S5" t="str">
        <f>IF(OR(tblProcessingActivities[[#This Row],[Risk Level]]="High",tblProcessingActivities[[#This Row],[Risk Level]]="Very High"),"Yes","No")</f>
        <v>Yes</v>
      </c>
    </row>
    <row r="6" spans="1:20" x14ac:dyDescent="0.25">
      <c r="A6" t="s">
        <v>83</v>
      </c>
      <c r="B6" t="s">
        <v>84</v>
      </c>
      <c r="C6" t="s">
        <v>137</v>
      </c>
      <c r="D6" t="s">
        <v>80</v>
      </c>
      <c r="E6" t="s">
        <v>85</v>
      </c>
      <c r="F6" t="s">
        <v>71</v>
      </c>
      <c r="G6" t="s">
        <v>72</v>
      </c>
      <c r="H6" t="s">
        <v>125</v>
      </c>
      <c r="I6" t="s">
        <v>138</v>
      </c>
      <c r="J6" t="s">
        <v>37</v>
      </c>
      <c r="K6" t="s">
        <v>267</v>
      </c>
      <c r="L6" t="s">
        <v>139</v>
      </c>
      <c r="M6" t="s">
        <v>37</v>
      </c>
      <c r="N6" t="s">
        <v>122</v>
      </c>
      <c r="O6" t="s">
        <v>135</v>
      </c>
      <c r="P6" t="s">
        <v>163</v>
      </c>
      <c r="Q6" t="s">
        <v>140</v>
      </c>
      <c r="R6" t="str" cm="1">
        <f t="array" ref="R6">_xlfn.IFS(
AND(tblProcessingActivities[[#This Row],[Special Personal Data]]="Yes",tblProcessingActivities[[#This Row],[International Transfer]]="Yes"),"Very High",
OR(tblProcessingActivities[[#This Row],[Special Personal Data]]="Yes",tblProcessingActivities[[#This Row],[International Transfer]]="Yes"),"High",
tblProcessingActivities[[#This Row],[Lawful Basis]]="Consent","Medium",
TRUE,"Low"
)</f>
        <v>Very High</v>
      </c>
      <c r="S6" t="str">
        <f>IF(OR(tblProcessingActivities[[#This Row],[Risk Level]]="High",tblProcessingActivities[[#This Row],[Risk Level]]="Very High"),"Yes","No")</f>
        <v>Yes</v>
      </c>
    </row>
    <row r="7" spans="1:20" x14ac:dyDescent="0.25">
      <c r="A7" t="s">
        <v>86</v>
      </c>
      <c r="B7" t="s">
        <v>87</v>
      </c>
      <c r="C7" t="s">
        <v>141</v>
      </c>
      <c r="D7" t="s">
        <v>88</v>
      </c>
      <c r="E7" t="s">
        <v>89</v>
      </c>
      <c r="F7" t="s">
        <v>71</v>
      </c>
      <c r="G7" t="s">
        <v>72</v>
      </c>
      <c r="H7" t="s">
        <v>125</v>
      </c>
      <c r="I7" t="s">
        <v>142</v>
      </c>
      <c r="J7" t="s">
        <v>37</v>
      </c>
      <c r="K7" t="s">
        <v>267</v>
      </c>
      <c r="L7" t="s">
        <v>143</v>
      </c>
      <c r="M7" t="s">
        <v>37</v>
      </c>
      <c r="N7" t="s">
        <v>122</v>
      </c>
      <c r="O7" t="s">
        <v>135</v>
      </c>
      <c r="P7" t="s">
        <v>163</v>
      </c>
      <c r="Q7" t="s">
        <v>144</v>
      </c>
      <c r="R7" t="str" cm="1">
        <f t="array" ref="R7">_xlfn.IFS(
AND(tblProcessingActivities[[#This Row],[Special Personal Data]]="Yes",tblProcessingActivities[[#This Row],[International Transfer]]="Yes"),"Very High",
OR(tblProcessingActivities[[#This Row],[Special Personal Data]]="Yes",tblProcessingActivities[[#This Row],[International Transfer]]="Yes"),"High",
tblProcessingActivities[[#This Row],[Lawful Basis]]="Consent","Medium",
TRUE,"Low"
)</f>
        <v>Very High</v>
      </c>
      <c r="S7" t="str">
        <f>IF(OR(tblProcessingActivities[[#This Row],[Risk Level]]="High",tblProcessingActivities[[#This Row],[Risk Level]]="Very High"),"Yes","No")</f>
        <v>Yes</v>
      </c>
    </row>
    <row r="8" spans="1:20" x14ac:dyDescent="0.25">
      <c r="A8" t="s">
        <v>90</v>
      </c>
      <c r="B8" t="s">
        <v>91</v>
      </c>
      <c r="C8" t="s">
        <v>145</v>
      </c>
      <c r="D8" t="s">
        <v>92</v>
      </c>
      <c r="E8" t="s">
        <v>93</v>
      </c>
      <c r="F8" t="s">
        <v>71</v>
      </c>
      <c r="G8" t="s">
        <v>72</v>
      </c>
      <c r="H8" t="s">
        <v>125</v>
      </c>
      <c r="I8" t="s">
        <v>146</v>
      </c>
      <c r="J8" t="s">
        <v>37</v>
      </c>
      <c r="K8" t="s">
        <v>267</v>
      </c>
      <c r="L8" t="s">
        <v>92</v>
      </c>
      <c r="M8" t="s">
        <v>37</v>
      </c>
      <c r="N8" t="s">
        <v>122</v>
      </c>
      <c r="O8" t="s">
        <v>135</v>
      </c>
      <c r="P8" t="s">
        <v>163</v>
      </c>
      <c r="Q8" t="s">
        <v>147</v>
      </c>
      <c r="R8" t="str" cm="1">
        <f t="array" ref="R8">_xlfn.IFS(
AND(tblProcessingActivities[[#This Row],[Special Personal Data]]="Yes",tblProcessingActivities[[#This Row],[International Transfer]]="Yes"),"Very High",
OR(tblProcessingActivities[[#This Row],[Special Personal Data]]="Yes",tblProcessingActivities[[#This Row],[International Transfer]]="Yes"),"High",
tblProcessingActivities[[#This Row],[Lawful Basis]]="Consent","Medium",
TRUE,"Low"
)</f>
        <v>Very High</v>
      </c>
      <c r="S8" t="str">
        <f>IF(OR(tblProcessingActivities[[#This Row],[Risk Level]]="High",tblProcessingActivities[[#This Row],[Risk Level]]="Very High"),"Yes","No")</f>
        <v>Yes</v>
      </c>
    </row>
    <row r="9" spans="1:20" x14ac:dyDescent="0.25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71</v>
      </c>
      <c r="G9" t="s">
        <v>99</v>
      </c>
      <c r="H9" t="s">
        <v>125</v>
      </c>
      <c r="I9" t="s">
        <v>148</v>
      </c>
      <c r="J9" t="s">
        <v>48</v>
      </c>
      <c r="K9" t="s">
        <v>152</v>
      </c>
      <c r="L9" t="s">
        <v>98</v>
      </c>
      <c r="M9" t="s">
        <v>37</v>
      </c>
      <c r="N9" t="s">
        <v>149</v>
      </c>
      <c r="O9" t="s">
        <v>123</v>
      </c>
      <c r="P9" t="s">
        <v>163</v>
      </c>
      <c r="Q9" t="s">
        <v>144</v>
      </c>
      <c r="R9" t="str" cm="1">
        <f t="array" ref="R9">_xlfn.IFS(
AND(tblProcessingActivities[[#This Row],[Special Personal Data]]="Yes",tblProcessingActivities[[#This Row],[International Transfer]]="Yes"),"Very High",
OR(tblProcessingActivities[[#This Row],[Special Personal Data]]="Yes",tblProcessingActivities[[#This Row],[International Transfer]]="Yes"),"High",
tblProcessingActivities[[#This Row],[Lawful Basis]]="Consent","Medium",
TRUE,"Low"
)</f>
        <v>High</v>
      </c>
      <c r="S9" t="str">
        <f>IF(OR(tblProcessingActivities[[#This Row],[Risk Level]]="High",tblProcessingActivities[[#This Row],[Risk Level]]="Very High"),"Yes","No")</f>
        <v>Yes</v>
      </c>
    </row>
    <row r="10" spans="1:20" x14ac:dyDescent="0.25">
      <c r="A10" t="s">
        <v>100</v>
      </c>
      <c r="B10" t="s">
        <v>101</v>
      </c>
      <c r="C10" t="s">
        <v>150</v>
      </c>
      <c r="D10" t="s">
        <v>102</v>
      </c>
      <c r="E10" t="s">
        <v>103</v>
      </c>
      <c r="F10" t="s">
        <v>71</v>
      </c>
      <c r="G10" t="s">
        <v>104</v>
      </c>
      <c r="H10" t="s">
        <v>125</v>
      </c>
      <c r="I10" t="s">
        <v>151</v>
      </c>
      <c r="J10" t="s">
        <v>48</v>
      </c>
      <c r="K10" t="s">
        <v>268</v>
      </c>
      <c r="L10" t="s">
        <v>104</v>
      </c>
      <c r="M10" t="s">
        <v>37</v>
      </c>
      <c r="N10" t="s">
        <v>149</v>
      </c>
      <c r="O10" t="s">
        <v>153</v>
      </c>
      <c r="P10" t="s">
        <v>163</v>
      </c>
      <c r="Q10" t="s">
        <v>154</v>
      </c>
      <c r="R10" t="str" cm="1">
        <f t="array" ref="R10">_xlfn.IFS(
AND(tblProcessingActivities[[#This Row],[Special Personal Data]]="Yes",tblProcessingActivities[[#This Row],[International Transfer]]="Yes"),"Very High",
OR(tblProcessingActivities[[#This Row],[Special Personal Data]]="Yes",tblProcessingActivities[[#This Row],[International Transfer]]="Yes"),"High",
tblProcessingActivities[[#This Row],[Lawful Basis]]="Consent","Medium",
TRUE,"Low"
)</f>
        <v>High</v>
      </c>
      <c r="S10" t="str">
        <f>IF(OR(tblProcessingActivities[[#This Row],[Risk Level]]="High",tblProcessingActivities[[#This Row],[Risk Level]]="Very High"),"Yes","No")</f>
        <v>Yes</v>
      </c>
    </row>
    <row r="11" spans="1:20" x14ac:dyDescent="0.25">
      <c r="A11" t="s">
        <v>105</v>
      </c>
      <c r="B11" t="s">
        <v>106</v>
      </c>
      <c r="C11" t="s">
        <v>155</v>
      </c>
      <c r="D11" t="s">
        <v>102</v>
      </c>
      <c r="E11" t="s">
        <v>156</v>
      </c>
      <c r="F11" t="s">
        <v>71</v>
      </c>
      <c r="G11" t="s">
        <v>107</v>
      </c>
      <c r="H11" t="s">
        <v>125</v>
      </c>
      <c r="I11" t="s">
        <v>157</v>
      </c>
      <c r="J11" t="s">
        <v>48</v>
      </c>
      <c r="K11" t="s">
        <v>268</v>
      </c>
      <c r="L11" t="s">
        <v>107</v>
      </c>
      <c r="M11" t="s">
        <v>37</v>
      </c>
      <c r="N11" t="s">
        <v>158</v>
      </c>
      <c r="O11" t="s">
        <v>153</v>
      </c>
      <c r="P11" t="s">
        <v>163</v>
      </c>
      <c r="Q11" t="s">
        <v>154</v>
      </c>
      <c r="R11" t="str" cm="1">
        <f t="array" ref="R11">_xlfn.IFS(
AND(tblProcessingActivities[[#This Row],[Special Personal Data]]="Yes",tblProcessingActivities[[#This Row],[International Transfer]]="Yes"),"Very High",
OR(tblProcessingActivities[[#This Row],[Special Personal Data]]="Yes",tblProcessingActivities[[#This Row],[International Transfer]]="Yes"),"High",
tblProcessingActivities[[#This Row],[Lawful Basis]]="Consent","Medium",
TRUE,"Low"
)</f>
        <v>High</v>
      </c>
      <c r="S11" t="str">
        <f>IF(OR(tblProcessingActivities[[#This Row],[Risk Level]]="High",tblProcessingActivities[[#This Row],[Risk Level]]="Very High"),"Yes","No")</f>
        <v>Yes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8081-E59C-49AE-84D7-7B41FDCCF2C9}">
  <dimension ref="A1:P11"/>
  <sheetViews>
    <sheetView workbookViewId="0">
      <selection activeCell="B2" sqref="B2"/>
    </sheetView>
  </sheetViews>
  <sheetFormatPr defaultRowHeight="15" x14ac:dyDescent="0.25"/>
  <cols>
    <col min="1" max="1" width="16" customWidth="1"/>
    <col min="2" max="2" width="12.140625" customWidth="1"/>
    <col min="3" max="3" width="21.140625" bestFit="1" customWidth="1"/>
    <col min="4" max="4" width="25.5703125" customWidth="1"/>
    <col min="5" max="5" width="23" customWidth="1"/>
    <col min="6" max="6" width="26.42578125" customWidth="1"/>
    <col min="7" max="7" width="26" customWidth="1"/>
    <col min="8" max="8" width="27.85546875" customWidth="1"/>
    <col min="9" max="9" width="28.28515625" customWidth="1"/>
    <col min="10" max="10" width="24.140625" customWidth="1"/>
    <col min="11" max="11" width="29.5703125" customWidth="1"/>
    <col min="12" max="12" width="24.28515625" customWidth="1"/>
    <col min="13" max="13" width="30.7109375" customWidth="1"/>
    <col min="14" max="14" width="18.85546875" customWidth="1"/>
    <col min="15" max="15" width="20.42578125" customWidth="1"/>
    <col min="16" max="16" width="32.5703125" bestFit="1" customWidth="1"/>
  </cols>
  <sheetData>
    <row r="1" spans="1:16" x14ac:dyDescent="0.25">
      <c r="A1" t="s">
        <v>164</v>
      </c>
      <c r="B1" t="s">
        <v>61</v>
      </c>
      <c r="C1" t="s">
        <v>62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177</v>
      </c>
      <c r="O1" t="s">
        <v>175</v>
      </c>
      <c r="P1" t="s">
        <v>176</v>
      </c>
    </row>
    <row r="2" spans="1:16" x14ac:dyDescent="0.25">
      <c r="A2" t="s">
        <v>179</v>
      </c>
      <c r="B2" t="s">
        <v>189</v>
      </c>
      <c r="C2" t="s">
        <v>68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48</v>
      </c>
      <c r="L2" t="s">
        <v>37</v>
      </c>
      <c r="M2" t="s">
        <v>37</v>
      </c>
      <c r="N2">
        <f>SUM(
_xlfn.XLOOKUP(D2,{"Yes","Partially","No"},{2,1,0}),
_xlfn.XLOOKUP(E2,{"Yes","Partially","No"},{2,1,0}),
_xlfn.XLOOKUP(F2,{"Yes","Partially","No"},{2,1,0}),
_xlfn.XLOOKUP(G2,{"Yes","Partially","No"},{2,1,0}),
_xlfn.XLOOKUP(H2,{"Yes","Partially","No"},{2,1,0}),
_xlfn.XLOOKUP(I2,{"Yes","Partially","No"},{2,1,0}),
_xlfn.XLOOKUP(J2,{"Yes","Partially","No"},{2,1,0}),
_xlfn.XLOOKUP(K2,{"Yes","Partially","No"},{2,1,0}),
_xlfn.XLOOKUP(L2,{"Yes","Partially","No"},{2,1,0}),
_xlfn.XLOOKUP(M2,{"Yes","Partially","No"},{2,1,0})
)</f>
        <v>18</v>
      </c>
      <c r="O2" t="str" cm="1">
        <f t="array" ref="O2">_xlfn.IFS(
N2&gt;=18,"Compliant",
N2&gt;=14,"Mostly Compliant",
N2&gt;=10,"Partially Compliant",
TRUE,"Non-Compliant"
)</f>
        <v>Compliant</v>
      </c>
      <c r="P2" t="str" cm="1">
        <f t="array" ref="P2">_xlfn.IFS(
O2="Compliant","Proceed",
O2="Mostly Compliant","Proceed with Minor Improvements",
O2="Partially Compliant","Implement Corrective Actions",
O2="Non-Compliant","Redesign Processing Activity"
)</f>
        <v>Proceed</v>
      </c>
    </row>
    <row r="3" spans="1:16" x14ac:dyDescent="0.25">
      <c r="A3" t="s">
        <v>180</v>
      </c>
      <c r="B3" t="s">
        <v>190</v>
      </c>
      <c r="C3" t="s">
        <v>74</v>
      </c>
      <c r="D3" t="s">
        <v>178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>
        <f>SUM(
_xlfn.XLOOKUP(D3,{"Yes","Partially","No"},{2,1,0}),
_xlfn.XLOOKUP(E3,{"Yes","Partially","No"},{2,1,0}),
_xlfn.XLOOKUP(F3,{"Yes","Partially","No"},{2,1,0}),
_xlfn.XLOOKUP(G3,{"Yes","Partially","No"},{2,1,0}),
_xlfn.XLOOKUP(H3,{"Yes","Partially","No"},{2,1,0}),
_xlfn.XLOOKUP(I3,{"Yes","Partially","No"},{2,1,0}),
_xlfn.XLOOKUP(J3,{"Yes","Partially","No"},{2,1,0}),
_xlfn.XLOOKUP(K3,{"Yes","Partially","No"},{2,1,0}),
_xlfn.XLOOKUP(L3,{"Yes","Partially","No"},{2,1,0}),
_xlfn.XLOOKUP(M3,{"Yes","Partially","No"},{2,1,0})
)</f>
        <v>19</v>
      </c>
      <c r="O3" t="str" cm="1">
        <f t="array" ref="O3">_xlfn.IFS(
N3&gt;=18,"Compliant",
N3&gt;=14,"Mostly Compliant",
N3&gt;=10,"Partially Compliant",
TRUE,"Non-Compliant"
)</f>
        <v>Compliant</v>
      </c>
      <c r="P3" t="str" cm="1">
        <f t="array" ref="P3">_xlfn.IFS(
O3="Compliant","Proceed",
O3="Mostly Compliant","Proceed with Minor Improvements",
O3="Partially Compliant","Implement Corrective Actions",
O3="Non-Compliant","Redesign Processing Activity"
)</f>
        <v>Proceed</v>
      </c>
    </row>
    <row r="4" spans="1:16" x14ac:dyDescent="0.25">
      <c r="A4" t="s">
        <v>181</v>
      </c>
      <c r="B4" t="s">
        <v>191</v>
      </c>
      <c r="C4" t="s">
        <v>78</v>
      </c>
      <c r="D4" t="s">
        <v>37</v>
      </c>
      <c r="E4" t="s">
        <v>37</v>
      </c>
      <c r="F4" t="s">
        <v>48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>
        <f>SUM(
_xlfn.XLOOKUP(D4,{"Yes","Partially","No"},{2,1,0}),
_xlfn.XLOOKUP(E4,{"Yes","Partially","No"},{2,1,0}),
_xlfn.XLOOKUP(F4,{"Yes","Partially","No"},{2,1,0}),
_xlfn.XLOOKUP(G4,{"Yes","Partially","No"},{2,1,0}),
_xlfn.XLOOKUP(H4,{"Yes","Partially","No"},{2,1,0}),
_xlfn.XLOOKUP(I4,{"Yes","Partially","No"},{2,1,0}),
_xlfn.XLOOKUP(J4,{"Yes","Partially","No"},{2,1,0}),
_xlfn.XLOOKUP(K4,{"Yes","Partially","No"},{2,1,0}),
_xlfn.XLOOKUP(L4,{"Yes","Partially","No"},{2,1,0}),
_xlfn.XLOOKUP(M4,{"Yes","Partially","No"},{2,1,0})
)</f>
        <v>18</v>
      </c>
      <c r="O4" t="str" cm="1">
        <f t="array" ref="O4">_xlfn.IFS(
N4&gt;=18,"Compliant",
N4&gt;=14,"Mostly Compliant",
N4&gt;=10,"Partially Compliant",
TRUE,"Non-Compliant"
)</f>
        <v>Compliant</v>
      </c>
      <c r="P4" t="str" cm="1">
        <f t="array" ref="P4">_xlfn.IFS(
O4="Compliant","Proceed",
O4="Mostly Compliant","Proceed with Minor Improvements",
O4="Partially Compliant","Implement Corrective Actions",
O4="Non-Compliant","Redesign Processing Activity"
)</f>
        <v>Proceed</v>
      </c>
    </row>
    <row r="5" spans="1:16" x14ac:dyDescent="0.25">
      <c r="A5" t="s">
        <v>182</v>
      </c>
      <c r="B5" t="s">
        <v>192</v>
      </c>
      <c r="C5" t="s">
        <v>82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48</v>
      </c>
      <c r="K5" t="s">
        <v>37</v>
      </c>
      <c r="L5" t="s">
        <v>37</v>
      </c>
      <c r="M5" t="s">
        <v>37</v>
      </c>
      <c r="N5">
        <f>SUM(
_xlfn.XLOOKUP(D5,{"Yes","Partially","No"},{2,1,0}),
_xlfn.XLOOKUP(E5,{"Yes","Partially","No"},{2,1,0}),
_xlfn.XLOOKUP(F5,{"Yes","Partially","No"},{2,1,0}),
_xlfn.XLOOKUP(G5,{"Yes","Partially","No"},{2,1,0}),
_xlfn.XLOOKUP(H5,{"Yes","Partially","No"},{2,1,0}),
_xlfn.XLOOKUP(I5,{"Yes","Partially","No"},{2,1,0}),
_xlfn.XLOOKUP(J5,{"Yes","Partially","No"},{2,1,0}),
_xlfn.XLOOKUP(K5,{"Yes","Partially","No"},{2,1,0}),
_xlfn.XLOOKUP(L5,{"Yes","Partially","No"},{2,1,0}),
_xlfn.XLOOKUP(M5,{"Yes","Partially","No"},{2,1,0})
)</f>
        <v>18</v>
      </c>
      <c r="O5" t="str" cm="1">
        <f t="array" ref="O5">_xlfn.IFS(
N5&gt;=18,"Compliant",
N5&gt;=14,"Mostly Compliant",
N5&gt;=10,"Partially Compliant",
TRUE,"Non-Compliant"
)</f>
        <v>Compliant</v>
      </c>
      <c r="P5" t="str" cm="1">
        <f t="array" ref="P5">_xlfn.IFS(
O5="Compliant","Proceed",
O5="Mostly Compliant","Proceed with Minor Improvements",
O5="Partially Compliant","Implement Corrective Actions",
O5="Non-Compliant","Redesign Processing Activity"
)</f>
        <v>Proceed</v>
      </c>
    </row>
    <row r="6" spans="1:16" x14ac:dyDescent="0.25">
      <c r="A6" t="s">
        <v>183</v>
      </c>
      <c r="B6" t="s">
        <v>193</v>
      </c>
      <c r="C6" t="s">
        <v>84</v>
      </c>
      <c r="D6" t="s">
        <v>48</v>
      </c>
      <c r="E6" t="s">
        <v>37</v>
      </c>
      <c r="F6" t="s">
        <v>37</v>
      </c>
      <c r="G6" t="s">
        <v>178</v>
      </c>
      <c r="H6" t="s">
        <v>178</v>
      </c>
      <c r="I6" t="s">
        <v>37</v>
      </c>
      <c r="J6" t="s">
        <v>37</v>
      </c>
      <c r="K6" t="s">
        <v>178</v>
      </c>
      <c r="L6" t="s">
        <v>37</v>
      </c>
      <c r="M6" t="s">
        <v>37</v>
      </c>
      <c r="N6">
        <f>SUM(
_xlfn.XLOOKUP(D6,{"Yes","Partially","No"},{2,1,0}),
_xlfn.XLOOKUP(E6,{"Yes","Partially","No"},{2,1,0}),
_xlfn.XLOOKUP(F6,{"Yes","Partially","No"},{2,1,0}),
_xlfn.XLOOKUP(G6,{"Yes","Partially","No"},{2,1,0}),
_xlfn.XLOOKUP(H6,{"Yes","Partially","No"},{2,1,0}),
_xlfn.XLOOKUP(I6,{"Yes","Partially","No"},{2,1,0}),
_xlfn.XLOOKUP(J6,{"Yes","Partially","No"},{2,1,0}),
_xlfn.XLOOKUP(K6,{"Yes","Partially","No"},{2,1,0}),
_xlfn.XLOOKUP(L6,{"Yes","Partially","No"},{2,1,0}),
_xlfn.XLOOKUP(M6,{"Yes","Partially","No"},{2,1,0})
)</f>
        <v>15</v>
      </c>
      <c r="O6" t="str" cm="1">
        <f t="array" ref="O6">_xlfn.IFS(
N6&gt;=18,"Compliant",
N6&gt;=14,"Mostly Compliant",
N6&gt;=10,"Partially Compliant",
TRUE,"Non-Compliant"
)</f>
        <v>Mostly Compliant</v>
      </c>
      <c r="P6" t="str" cm="1">
        <f t="array" ref="P6">_xlfn.IFS(
O6="Compliant","Proceed",
O6="Mostly Compliant","Proceed with Minor Improvements",
O6="Partially Compliant","Implement Corrective Actions",
O6="Non-Compliant","Redesign Processing Activity"
)</f>
        <v>Proceed with Minor Improvements</v>
      </c>
    </row>
    <row r="7" spans="1:16" x14ac:dyDescent="0.25">
      <c r="A7" t="s">
        <v>184</v>
      </c>
      <c r="B7" t="s">
        <v>194</v>
      </c>
      <c r="C7" t="s">
        <v>87</v>
      </c>
      <c r="D7" t="s">
        <v>178</v>
      </c>
      <c r="E7" t="s">
        <v>37</v>
      </c>
      <c r="F7" t="s">
        <v>178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>
        <f>SUM(
_xlfn.XLOOKUP(D7,{"Yes","Partially","No"},{2,1,0}),
_xlfn.XLOOKUP(E7,{"Yes","Partially","No"},{2,1,0}),
_xlfn.XLOOKUP(F7,{"Yes","Partially","No"},{2,1,0}),
_xlfn.XLOOKUP(G7,{"Yes","Partially","No"},{2,1,0}),
_xlfn.XLOOKUP(H7,{"Yes","Partially","No"},{2,1,0}),
_xlfn.XLOOKUP(I7,{"Yes","Partially","No"},{2,1,0}),
_xlfn.XLOOKUP(J7,{"Yes","Partially","No"},{2,1,0}),
_xlfn.XLOOKUP(K7,{"Yes","Partially","No"},{2,1,0}),
_xlfn.XLOOKUP(L7,{"Yes","Partially","No"},{2,1,0}),
_xlfn.XLOOKUP(M7,{"Yes","Partially","No"},{2,1,0})
)</f>
        <v>18</v>
      </c>
      <c r="O7" t="str" cm="1">
        <f t="array" ref="O7">_xlfn.IFS(
N7&gt;=18,"Compliant",
N7&gt;=14,"Mostly Compliant",
N7&gt;=10,"Partially Compliant",
TRUE,"Non-Compliant"
)</f>
        <v>Compliant</v>
      </c>
      <c r="P7" t="str" cm="1">
        <f t="array" ref="P7">_xlfn.IFS(
O7="Compliant","Proceed",
O7="Mostly Compliant","Proceed with Minor Improvements",
O7="Partially Compliant","Implement Corrective Actions",
O7="Non-Compliant","Redesign Processing Activity"
)</f>
        <v>Proceed</v>
      </c>
    </row>
    <row r="8" spans="1:16" x14ac:dyDescent="0.25">
      <c r="A8" t="s">
        <v>185</v>
      </c>
      <c r="B8" t="s">
        <v>195</v>
      </c>
      <c r="C8" t="s">
        <v>91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48</v>
      </c>
      <c r="M8" t="s">
        <v>37</v>
      </c>
      <c r="N8">
        <f>SUM(
_xlfn.XLOOKUP(D8,{"Yes","Partially","No"},{2,1,0}),
_xlfn.XLOOKUP(E8,{"Yes","Partially","No"},{2,1,0}),
_xlfn.XLOOKUP(F8,{"Yes","Partially","No"},{2,1,0}),
_xlfn.XLOOKUP(G8,{"Yes","Partially","No"},{2,1,0}),
_xlfn.XLOOKUP(H8,{"Yes","Partially","No"},{2,1,0}),
_xlfn.XLOOKUP(I8,{"Yes","Partially","No"},{2,1,0}),
_xlfn.XLOOKUP(J8,{"Yes","Partially","No"},{2,1,0}),
_xlfn.XLOOKUP(K8,{"Yes","Partially","No"},{2,1,0}),
_xlfn.XLOOKUP(L8,{"Yes","Partially","No"},{2,1,0}),
_xlfn.XLOOKUP(M8,{"Yes","Partially","No"},{2,1,0})
)</f>
        <v>18</v>
      </c>
      <c r="O8" t="str" cm="1">
        <f t="array" ref="O8">_xlfn.IFS(
N8&gt;=18,"Compliant",
N8&gt;=14,"Mostly Compliant",
N8&gt;=10,"Partially Compliant",
TRUE,"Non-Compliant"
)</f>
        <v>Compliant</v>
      </c>
      <c r="P8" t="str" cm="1">
        <f t="array" ref="P8">_xlfn.IFS(
O8="Compliant","Proceed",
O8="Mostly Compliant","Proceed with Minor Improvements",
O8="Partially Compliant","Implement Corrective Actions",
O8="Non-Compliant","Redesign Processing Activity"
)</f>
        <v>Proceed</v>
      </c>
    </row>
    <row r="9" spans="1:16" x14ac:dyDescent="0.25">
      <c r="A9" t="s">
        <v>186</v>
      </c>
      <c r="B9" t="s">
        <v>196</v>
      </c>
      <c r="C9" t="s">
        <v>95</v>
      </c>
      <c r="D9" t="s">
        <v>37</v>
      </c>
      <c r="E9" t="s">
        <v>37</v>
      </c>
      <c r="F9" t="s">
        <v>48</v>
      </c>
      <c r="G9" t="s">
        <v>48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>
        <f>SUM(
_xlfn.XLOOKUP(D9,{"Yes","Partially","No"},{2,1,0}),
_xlfn.XLOOKUP(E9,{"Yes","Partially","No"},{2,1,0}),
_xlfn.XLOOKUP(F9,{"Yes","Partially","No"},{2,1,0}),
_xlfn.XLOOKUP(G9,{"Yes","Partially","No"},{2,1,0}),
_xlfn.XLOOKUP(H9,{"Yes","Partially","No"},{2,1,0}),
_xlfn.XLOOKUP(I9,{"Yes","Partially","No"},{2,1,0}),
_xlfn.XLOOKUP(J9,{"Yes","Partially","No"},{2,1,0}),
_xlfn.XLOOKUP(K9,{"Yes","Partially","No"},{2,1,0}),
_xlfn.XLOOKUP(L9,{"Yes","Partially","No"},{2,1,0}),
_xlfn.XLOOKUP(M9,{"Yes","Partially","No"},{2,1,0})
)</f>
        <v>16</v>
      </c>
      <c r="O9" t="str" cm="1">
        <f t="array" ref="O9">_xlfn.IFS(
N9&gt;=18,"Compliant",
N9&gt;=14,"Mostly Compliant",
N9&gt;=10,"Partially Compliant",
TRUE,"Non-Compliant"
)</f>
        <v>Mostly Compliant</v>
      </c>
      <c r="P9" t="str" cm="1">
        <f t="array" ref="P9">_xlfn.IFS(
O9="Compliant","Proceed",
O9="Mostly Compliant","Proceed with Minor Improvements",
O9="Partially Compliant","Implement Corrective Actions",
O9="Non-Compliant","Redesign Processing Activity"
)</f>
        <v>Proceed with Minor Improvements</v>
      </c>
    </row>
    <row r="10" spans="1:16" x14ac:dyDescent="0.25">
      <c r="A10" t="s">
        <v>187</v>
      </c>
      <c r="B10" t="s">
        <v>197</v>
      </c>
      <c r="C10" t="s">
        <v>101</v>
      </c>
      <c r="D10" t="s">
        <v>178</v>
      </c>
      <c r="E10" t="s">
        <v>37</v>
      </c>
      <c r="F10" t="s">
        <v>37</v>
      </c>
      <c r="G10" t="s">
        <v>37</v>
      </c>
      <c r="H10" t="s">
        <v>178</v>
      </c>
      <c r="I10" t="s">
        <v>37</v>
      </c>
      <c r="J10" t="s">
        <v>37</v>
      </c>
      <c r="K10" t="s">
        <v>48</v>
      </c>
      <c r="L10" t="s">
        <v>37</v>
      </c>
      <c r="M10" t="s">
        <v>37</v>
      </c>
      <c r="N10">
        <f>SUM(
_xlfn.XLOOKUP(D10,{"Yes","Partially","No"},{2,1,0}),
_xlfn.XLOOKUP(E10,{"Yes","Partially","No"},{2,1,0}),
_xlfn.XLOOKUP(F10,{"Yes","Partially","No"},{2,1,0}),
_xlfn.XLOOKUP(G10,{"Yes","Partially","No"},{2,1,0}),
_xlfn.XLOOKUP(H10,{"Yes","Partially","No"},{2,1,0}),
_xlfn.XLOOKUP(I10,{"Yes","Partially","No"},{2,1,0}),
_xlfn.XLOOKUP(J10,{"Yes","Partially","No"},{2,1,0}),
_xlfn.XLOOKUP(K10,{"Yes","Partially","No"},{2,1,0}),
_xlfn.XLOOKUP(L10,{"Yes","Partially","No"},{2,1,0}),
_xlfn.XLOOKUP(M10,{"Yes","Partially","No"},{2,1,0})
)</f>
        <v>16</v>
      </c>
      <c r="O10" t="str" cm="1">
        <f t="array" ref="O10">_xlfn.IFS(
N10&gt;=18,"Compliant",
N10&gt;=14,"Mostly Compliant",
N10&gt;=10,"Partially Compliant",
TRUE,"Non-Compliant"
)</f>
        <v>Mostly Compliant</v>
      </c>
      <c r="P10" t="str" cm="1">
        <f t="array" ref="P10">_xlfn.IFS(
O10="Compliant","Proceed",
O10="Mostly Compliant","Proceed with Minor Improvements",
O10="Partially Compliant","Implement Corrective Actions",
O10="Non-Compliant","Redesign Processing Activity"
)</f>
        <v>Proceed with Minor Improvements</v>
      </c>
    </row>
    <row r="11" spans="1:16" x14ac:dyDescent="0.25">
      <c r="A11" t="s">
        <v>188</v>
      </c>
      <c r="B11" t="s">
        <v>198</v>
      </c>
      <c r="C11" t="s">
        <v>106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>
        <f>SUM(
_xlfn.XLOOKUP(D11,{"Yes","Partially","No"},{2,1,0}),
_xlfn.XLOOKUP(E11,{"Yes","Partially","No"},{2,1,0}),
_xlfn.XLOOKUP(F11,{"Yes","Partially","No"},{2,1,0}),
_xlfn.XLOOKUP(G11,{"Yes","Partially","No"},{2,1,0}),
_xlfn.XLOOKUP(H11,{"Yes","Partially","No"},{2,1,0}),
_xlfn.XLOOKUP(I11,{"Yes","Partially","No"},{2,1,0}),
_xlfn.XLOOKUP(J11,{"Yes","Partially","No"},{2,1,0}),
_xlfn.XLOOKUP(K11,{"Yes","Partially","No"},{2,1,0}),
_xlfn.XLOOKUP(L11,{"Yes","Partially","No"},{2,1,0}),
_xlfn.XLOOKUP(M11,{"Yes","Partially","No"},{2,1,0})
)</f>
        <v>20</v>
      </c>
      <c r="O11" t="str" cm="1">
        <f t="array" ref="O11">_xlfn.IFS(
N11&gt;=18,"Compliant",
N11&gt;=14,"Mostly Compliant",
N11&gt;=10,"Partially Compliant",
TRUE,"Non-Compliant"
)</f>
        <v>Compliant</v>
      </c>
      <c r="P11" t="str" cm="1">
        <f t="array" ref="P11">_xlfn.IFS(
O11="Compliant","Proceed",
O11="Mostly Compliant","Proceed with Minor Improvements",
O11="Partially Compliant","Implement Corrective Actions",
O11="Non-Compliant","Redesign Processing Activity"
)</f>
        <v>Proceed</v>
      </c>
    </row>
  </sheetData>
  <phoneticPr fontId="3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B4D073-E94D-46FC-90E0-83EEF68F8301}">
          <x14:formula1>
            <xm:f>'Lookup Table'!$A$2:$A$4</xm:f>
          </x14:formula1>
          <xm:sqref>D1:D1048576 E2:M11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46BC-3A0F-4EF1-BDD4-C79204031F67}">
  <dimension ref="A1:R11"/>
  <sheetViews>
    <sheetView workbookViewId="0">
      <selection activeCell="J13" sqref="J13"/>
    </sheetView>
  </sheetViews>
  <sheetFormatPr defaultRowHeight="15" x14ac:dyDescent="0.25"/>
  <cols>
    <col min="2" max="2" width="12.140625" customWidth="1"/>
    <col min="3" max="3" width="21.140625" bestFit="1" customWidth="1"/>
    <col min="4" max="4" width="42.28515625" bestFit="1" customWidth="1"/>
    <col min="5" max="5" width="33.28515625" customWidth="1"/>
    <col min="6" max="6" width="12.5703125" bestFit="1" customWidth="1"/>
    <col min="7" max="7" width="12.42578125" customWidth="1"/>
    <col min="8" max="8" width="20.5703125" bestFit="1" customWidth="1"/>
    <col min="9" max="9" width="20.140625" customWidth="1"/>
    <col min="10" max="10" width="52.7109375" bestFit="1" customWidth="1"/>
    <col min="11" max="11" width="22" bestFit="1" customWidth="1"/>
    <col min="12" max="12" width="22" customWidth="1"/>
    <col min="13" max="13" width="20" customWidth="1"/>
    <col min="14" max="14" width="20.7109375" customWidth="1"/>
    <col min="15" max="16" width="27.85546875" bestFit="1" customWidth="1"/>
    <col min="17" max="17" width="13.28515625" customWidth="1"/>
    <col min="18" max="18" width="9.28515625" bestFit="1" customWidth="1"/>
    <col min="19" max="19" width="9.85546875" customWidth="1"/>
  </cols>
  <sheetData>
    <row r="1" spans="1:18" x14ac:dyDescent="0.25">
      <c r="A1" t="s">
        <v>266</v>
      </c>
      <c r="B1" t="s">
        <v>61</v>
      </c>
      <c r="C1" t="s">
        <v>62</v>
      </c>
      <c r="D1" t="s">
        <v>199</v>
      </c>
      <c r="E1" t="s">
        <v>220</v>
      </c>
      <c r="F1" t="s">
        <v>222</v>
      </c>
      <c r="G1" t="s">
        <v>223</v>
      </c>
      <c r="H1" t="s">
        <v>224</v>
      </c>
      <c r="I1" t="s">
        <v>252</v>
      </c>
      <c r="J1" t="s">
        <v>221</v>
      </c>
      <c r="K1" t="s">
        <v>225</v>
      </c>
      <c r="L1" t="s">
        <v>226</v>
      </c>
      <c r="M1" t="s">
        <v>227</v>
      </c>
      <c r="N1" t="s">
        <v>228</v>
      </c>
      <c r="O1" t="s">
        <v>229</v>
      </c>
      <c r="P1" t="s">
        <v>230</v>
      </c>
      <c r="Q1" t="s">
        <v>66</v>
      </c>
      <c r="R1" t="s">
        <v>231</v>
      </c>
    </row>
    <row r="2" spans="1:18" x14ac:dyDescent="0.25">
      <c r="A2" t="s">
        <v>210</v>
      </c>
      <c r="B2" t="s">
        <v>189</v>
      </c>
      <c r="C2" t="s">
        <v>68</v>
      </c>
      <c r="D2" t="s">
        <v>200</v>
      </c>
      <c r="E2" t="s">
        <v>239</v>
      </c>
      <c r="F2" t="s">
        <v>244</v>
      </c>
      <c r="G2" t="s">
        <v>251</v>
      </c>
      <c r="H2">
        <f>(MATCH(F2,{"Rare","Unlikely","Possible","Likely","Almost Certain"},0))
*
(MATCH(G2,{"Insignificant","Minor","Moderate","Major","Severe"},0))</f>
        <v>15</v>
      </c>
      <c r="I2" t="str" cm="1">
        <f t="array" ref="I2">_xlfn.IFS(
H2&lt;=4,"Low",
H2&lt;=9,"Medium",
H2&lt;=16,"High",
TRUE,"Very High"
)</f>
        <v>High</v>
      </c>
      <c r="J2" t="s">
        <v>332</v>
      </c>
      <c r="K2" t="s">
        <v>253</v>
      </c>
      <c r="L2" cm="1">
        <f t="array" ref="L2">ROUND(
H2*
(1-
_xlfn.XLOOKUP(
K2,
{"Very Effective","Effective","Partially Effective","Ineffective"},
{0.6,0.4,0.2,0}
)
),
0)</f>
        <v>6</v>
      </c>
      <c r="M2" t="str" cm="1">
        <f t="array" ref="M2">_xlfn.IFS(
L2&lt;=4,"Low",
L2&lt;=9,"Medium",
L2&lt;=16,"High",
TRUE,"Very High"
)</f>
        <v>Medium</v>
      </c>
      <c r="N2" t="str" cm="1">
        <f t="array" ref="N2">_xlfn.IFS(
M2="Low","Accept",
M2="Medium","Monitor",
M2="High","Mitigate",
M2="Very High","Avoid"
)</f>
        <v>Monitor</v>
      </c>
      <c r="O2" t="s">
        <v>259</v>
      </c>
      <c r="P2" s="5">
        <v>46254</v>
      </c>
      <c r="Q2" t="s">
        <v>265</v>
      </c>
    </row>
    <row r="3" spans="1:18" x14ac:dyDescent="0.25">
      <c r="A3" t="s">
        <v>211</v>
      </c>
      <c r="B3" t="s">
        <v>190</v>
      </c>
      <c r="C3" t="s">
        <v>74</v>
      </c>
      <c r="D3" t="s">
        <v>201</v>
      </c>
      <c r="E3" t="s">
        <v>239</v>
      </c>
      <c r="F3" t="s">
        <v>242</v>
      </c>
      <c r="G3" t="s">
        <v>251</v>
      </c>
      <c r="H3">
        <f>(MATCH(F3,{"Rare","Unlikely","Possible","Likely","Almost Certain"},0))
*
(MATCH(G3,{"Insignificant","Minor","Moderate","Major","Severe"},0))</f>
        <v>5</v>
      </c>
      <c r="I3" t="str" cm="1">
        <f t="array" ref="I3">_xlfn.IFS(
H3&lt;=4,"Low",
H3&lt;=9,"Medium",
H3&lt;=16,"High",
TRUE,"Very High"
)</f>
        <v>Medium</v>
      </c>
      <c r="J3" t="s">
        <v>331</v>
      </c>
      <c r="K3" t="s">
        <v>254</v>
      </c>
      <c r="L3" cm="1">
        <f t="array" ref="L3">ROUND(
H3*
(1-
_xlfn.XLOOKUP(
K3,
{"Very Effective","Effective","Partially Effective","Ineffective"},
{0.6,0.4,0.2,0}
)
),
0)</f>
        <v>3</v>
      </c>
      <c r="M3" t="str" cm="1">
        <f t="array" ref="M3">_xlfn.IFS(
L3&lt;=4,"Low",
L3&lt;=9,"Medium",
L3&lt;=16,"High",
TRUE,"Very High"
)</f>
        <v>Low</v>
      </c>
      <c r="N3" t="str" cm="1">
        <f t="array" ref="N3">_xlfn.IFS(
M3="Low","Accept",
M3="Medium","Monitor",
M3="High","Mitigate",
M3="Very High","Avoid"
)</f>
        <v>Accept</v>
      </c>
      <c r="O3" t="s">
        <v>259</v>
      </c>
      <c r="P3" s="5">
        <v>46255</v>
      </c>
      <c r="Q3" t="s">
        <v>265</v>
      </c>
    </row>
    <row r="4" spans="1:18" x14ac:dyDescent="0.25">
      <c r="A4" t="s">
        <v>212</v>
      </c>
      <c r="B4" t="s">
        <v>191</v>
      </c>
      <c r="C4" t="s">
        <v>78</v>
      </c>
      <c r="D4" t="s">
        <v>202</v>
      </c>
      <c r="E4" t="s">
        <v>239</v>
      </c>
      <c r="F4" t="s">
        <v>244</v>
      </c>
      <c r="G4" t="s">
        <v>249</v>
      </c>
      <c r="H4">
        <f>(MATCH(F4,{"Rare","Unlikely","Possible","Likely","Almost Certain"},0))
*
(MATCH(G4,{"Insignificant","Minor","Moderate","Major","Severe"},0))</f>
        <v>9</v>
      </c>
      <c r="I4" t="str" cm="1">
        <f t="array" ref="I4">_xlfn.IFS(
H4&lt;=4,"Low",
H4&lt;=9,"Medium",
H4&lt;=16,"High",
TRUE,"Very High"
)</f>
        <v>Medium</v>
      </c>
      <c r="J4" t="s">
        <v>334</v>
      </c>
      <c r="K4" t="s">
        <v>254</v>
      </c>
      <c r="L4" cm="1">
        <f t="array" ref="L4">ROUND(
H4*
(1-
_xlfn.XLOOKUP(
K4,
{"Very Effective","Effective","Partially Effective","Ineffective"},
{0.6,0.4,0.2,0}
)
),
0)</f>
        <v>5</v>
      </c>
      <c r="M4" t="str" cm="1">
        <f t="array" ref="M4">_xlfn.IFS(
L4&lt;=4,"Low",
L4&lt;=9,"Medium",
L4&lt;=16,"High",
TRUE,"Very High"
)</f>
        <v>Medium</v>
      </c>
      <c r="N4" t="str" cm="1">
        <f t="array" ref="N4">_xlfn.IFS(
M4="Low","Accept",
M4="Medium","Monitor",
M4="High","Mitigate",
M4="Very High","Avoid"
)</f>
        <v>Monitor</v>
      </c>
      <c r="O4" t="s">
        <v>259</v>
      </c>
      <c r="P4" s="5">
        <v>46256</v>
      </c>
      <c r="Q4" t="s">
        <v>265</v>
      </c>
    </row>
    <row r="5" spans="1:18" x14ac:dyDescent="0.25">
      <c r="A5" t="s">
        <v>213</v>
      </c>
      <c r="B5" t="s">
        <v>192</v>
      </c>
      <c r="C5" t="s">
        <v>82</v>
      </c>
      <c r="D5" t="s">
        <v>203</v>
      </c>
      <c r="E5" t="s">
        <v>239</v>
      </c>
      <c r="F5" t="s">
        <v>242</v>
      </c>
      <c r="G5" t="s">
        <v>251</v>
      </c>
      <c r="H5">
        <f>(MATCH(F5,{"Rare","Unlikely","Possible","Likely","Almost Certain"},0))
*
(MATCH(G5,{"Insignificant","Minor","Moderate","Major","Severe"},0))</f>
        <v>5</v>
      </c>
      <c r="I5" t="str" cm="1">
        <f t="array" ref="I5">_xlfn.IFS(
H5&lt;=4,"Low",
H5&lt;=9,"Medium",
H5&lt;=16,"High",
TRUE,"Very High"
)</f>
        <v>Medium</v>
      </c>
      <c r="J5" t="s">
        <v>332</v>
      </c>
      <c r="K5" t="s">
        <v>253</v>
      </c>
      <c r="L5" cm="1">
        <f t="array" ref="L5">ROUND(
H5*
(1-
_xlfn.XLOOKUP(
K5,
{"Very Effective","Effective","Partially Effective","Ineffective"},
{0.6,0.4,0.2,0}
)
),
0)</f>
        <v>2</v>
      </c>
      <c r="M5" t="str" cm="1">
        <f t="array" ref="M5">_xlfn.IFS(
L5&lt;=4,"Low",
L5&lt;=9,"Medium",
L5&lt;=16,"High",
TRUE,"Very High"
)</f>
        <v>Low</v>
      </c>
      <c r="N5" t="str" cm="1">
        <f t="array" ref="N5">_xlfn.IFS(
M5="Low","Accept",
M5="Medium","Monitor",
M5="High","Mitigate",
M5="Very High","Avoid"
)</f>
        <v>Accept</v>
      </c>
      <c r="O5" t="s">
        <v>259</v>
      </c>
      <c r="P5" s="5">
        <v>46257</v>
      </c>
      <c r="Q5" t="s">
        <v>265</v>
      </c>
    </row>
    <row r="6" spans="1:18" x14ac:dyDescent="0.25">
      <c r="A6" t="s">
        <v>214</v>
      </c>
      <c r="B6" t="s">
        <v>193</v>
      </c>
      <c r="C6" t="s">
        <v>84</v>
      </c>
      <c r="D6" t="s">
        <v>204</v>
      </c>
      <c r="E6" t="s">
        <v>239</v>
      </c>
      <c r="F6" t="s">
        <v>244</v>
      </c>
      <c r="G6" t="s">
        <v>250</v>
      </c>
      <c r="H6">
        <f>(MATCH(F6,{"Rare","Unlikely","Possible","Likely","Almost Certain"},0))
*
(MATCH(G6,{"Insignificant","Minor","Moderate","Major","Severe"},0))</f>
        <v>12</v>
      </c>
      <c r="I6" t="str" cm="1">
        <f t="array" ref="I6">_xlfn.IFS(
H6&lt;=4,"Low",
H6&lt;=9,"Medium",
H6&lt;=16,"High",
TRUE,"Very High"
)</f>
        <v>High</v>
      </c>
      <c r="J6" t="s">
        <v>332</v>
      </c>
      <c r="K6" t="s">
        <v>253</v>
      </c>
      <c r="L6" cm="1">
        <f t="array" ref="L6">ROUND(
H6*
(1-
_xlfn.XLOOKUP(
K6,
{"Very Effective","Effective","Partially Effective","Ineffective"},
{0.6,0.4,0.2,0}
)
),
0)</f>
        <v>5</v>
      </c>
      <c r="M6" t="str" cm="1">
        <f t="array" ref="M6">_xlfn.IFS(
L6&lt;=4,"Low",
L6&lt;=9,"Medium",
L6&lt;=16,"High",
TRUE,"Very High"
)</f>
        <v>Medium</v>
      </c>
      <c r="N6" t="str" cm="1">
        <f t="array" ref="N6">_xlfn.IFS(
M6="Low","Accept",
M6="Medium","Monitor",
M6="High","Mitigate",
M6="Very High","Avoid"
)</f>
        <v>Monitor</v>
      </c>
      <c r="O6" t="s">
        <v>260</v>
      </c>
      <c r="P6" s="5">
        <v>46258</v>
      </c>
      <c r="Q6" t="s">
        <v>265</v>
      </c>
    </row>
    <row r="7" spans="1:18" x14ac:dyDescent="0.25">
      <c r="A7" t="s">
        <v>215</v>
      </c>
      <c r="B7" t="s">
        <v>194</v>
      </c>
      <c r="C7" t="s">
        <v>87</v>
      </c>
      <c r="D7" t="s">
        <v>205</v>
      </c>
      <c r="E7" t="s">
        <v>239</v>
      </c>
      <c r="F7" t="s">
        <v>244</v>
      </c>
      <c r="G7" t="s">
        <v>250</v>
      </c>
      <c r="H7">
        <f>(MATCH(F7,{"Rare","Unlikely","Possible","Likely","Almost Certain"},0))
*
(MATCH(G7,{"Insignificant","Minor","Moderate","Major","Severe"},0))</f>
        <v>12</v>
      </c>
      <c r="I7" t="str" cm="1">
        <f t="array" ref="I7">_xlfn.IFS(
H7&lt;=4,"Low",
H7&lt;=9,"Medium",
H7&lt;=16,"High",
TRUE,"Very High"
)</f>
        <v>High</v>
      </c>
      <c r="J7" t="s">
        <v>331</v>
      </c>
      <c r="K7" t="s">
        <v>253</v>
      </c>
      <c r="L7" cm="1">
        <f t="array" ref="L7">ROUND(
H7*
(1-
_xlfn.XLOOKUP(
K7,
{"Very Effective","Effective","Partially Effective","Ineffective"},
{0.6,0.4,0.2,0}
)
),
0)</f>
        <v>5</v>
      </c>
      <c r="M7" t="str" cm="1">
        <f t="array" ref="M7">_xlfn.IFS(
L7&lt;=4,"Low",
L7&lt;=9,"Medium",
L7&lt;=16,"High",
TRUE,"Very High"
)</f>
        <v>Medium</v>
      </c>
      <c r="N7" t="str" cm="1">
        <f t="array" ref="N7">_xlfn.IFS(
M7="Low","Accept",
M7="Medium","Monitor",
M7="High","Mitigate",
M7="Very High","Avoid"
)</f>
        <v>Monitor</v>
      </c>
      <c r="O7" t="s">
        <v>259</v>
      </c>
      <c r="P7" s="5">
        <v>46259</v>
      </c>
      <c r="Q7" t="s">
        <v>265</v>
      </c>
    </row>
    <row r="8" spans="1:18" x14ac:dyDescent="0.25">
      <c r="A8" t="s">
        <v>216</v>
      </c>
      <c r="B8" t="s">
        <v>195</v>
      </c>
      <c r="C8" t="s">
        <v>91</v>
      </c>
      <c r="D8" t="s">
        <v>206</v>
      </c>
      <c r="E8" t="s">
        <v>239</v>
      </c>
      <c r="F8" t="s">
        <v>242</v>
      </c>
      <c r="G8" t="s">
        <v>251</v>
      </c>
      <c r="H8">
        <f>(MATCH(F8,{"Rare","Unlikely","Possible","Likely","Almost Certain"},0))
*
(MATCH(G8,{"Insignificant","Minor","Moderate","Major","Severe"},0))</f>
        <v>5</v>
      </c>
      <c r="I8" t="str" cm="1">
        <f t="array" ref="I8">_xlfn.IFS(
H8&lt;=4,"Low",
H8&lt;=9,"Medium",
H8&lt;=16,"High",
TRUE,"Very High"
)</f>
        <v>Medium</v>
      </c>
      <c r="J8" t="s">
        <v>331</v>
      </c>
      <c r="K8" t="s">
        <v>254</v>
      </c>
      <c r="L8" cm="1">
        <f t="array" ref="L8">ROUND(
H8*
(1-
_xlfn.XLOOKUP(
K8,
{"Very Effective","Effective","Partially Effective","Ineffective"},
{0.6,0.4,0.2,0}
)
),
0)</f>
        <v>3</v>
      </c>
      <c r="M8" t="str" cm="1">
        <f t="array" ref="M8">_xlfn.IFS(
L8&lt;=4,"Low",
L8&lt;=9,"Medium",
L8&lt;=16,"High",
TRUE,"Very High"
)</f>
        <v>Low</v>
      </c>
      <c r="N8" t="str" cm="1">
        <f t="array" ref="N8">_xlfn.IFS(
M8="Low","Accept",
M8="Medium","Monitor",
M8="High","Mitigate",
M8="Very High","Avoid"
)</f>
        <v>Accept</v>
      </c>
      <c r="O8" t="s">
        <v>260</v>
      </c>
      <c r="P8" s="5">
        <v>46260</v>
      </c>
      <c r="Q8" t="s">
        <v>265</v>
      </c>
    </row>
    <row r="9" spans="1:18" x14ac:dyDescent="0.25">
      <c r="A9" t="s">
        <v>217</v>
      </c>
      <c r="B9" t="s">
        <v>196</v>
      </c>
      <c r="C9" t="s">
        <v>95</v>
      </c>
      <c r="D9" t="s">
        <v>207</v>
      </c>
      <c r="E9" t="s">
        <v>240</v>
      </c>
      <c r="F9" t="s">
        <v>245</v>
      </c>
      <c r="G9" t="s">
        <v>251</v>
      </c>
      <c r="H9">
        <f>(MATCH(F9,{"Rare","Unlikely","Possible","Likely","Almost Certain"},0))
*
(MATCH(G9,{"Insignificant","Minor","Moderate","Major","Severe"},0))</f>
        <v>20</v>
      </c>
      <c r="I9" t="str" cm="1">
        <f t="array" ref="I9">_xlfn.IFS(
H9&lt;=4,"Low",
H9&lt;=9,"Medium",
H9&lt;=16,"High",
TRUE,"Very High"
)</f>
        <v>Very High</v>
      </c>
      <c r="J9" t="s">
        <v>333</v>
      </c>
      <c r="K9" t="s">
        <v>255</v>
      </c>
      <c r="L9" cm="1">
        <f t="array" ref="L9">ROUND(
H9*
(1-
_xlfn.XLOOKUP(
K9,
{"Very Effective","Effective","Partially Effective","Ineffective"},
{0.6,0.4,0.2,0}
)
),
0)</f>
        <v>16</v>
      </c>
      <c r="M9" t="str" cm="1">
        <f t="array" ref="M9">_xlfn.IFS(
L9&lt;=4,"Low",
L9&lt;=9,"Medium",
L9&lt;=16,"High",
TRUE,"Very High"
)</f>
        <v>High</v>
      </c>
      <c r="N9" t="str" cm="1">
        <f t="array" ref="N9">_xlfn.IFS(
M9="Low","Accept",
M9="Medium","Monitor",
M9="High","Escalate to NDPC",
M9="Very High","Avoid"
)</f>
        <v>Escalate to NDPC</v>
      </c>
      <c r="O9" t="s">
        <v>260</v>
      </c>
      <c r="P9" s="5">
        <v>46261</v>
      </c>
      <c r="Q9" t="s">
        <v>263</v>
      </c>
    </row>
    <row r="10" spans="1:18" x14ac:dyDescent="0.25">
      <c r="A10" t="s">
        <v>218</v>
      </c>
      <c r="B10" t="s">
        <v>197</v>
      </c>
      <c r="C10" t="s">
        <v>101</v>
      </c>
      <c r="D10" t="s">
        <v>208</v>
      </c>
      <c r="E10" t="s">
        <v>240</v>
      </c>
      <c r="F10" t="s">
        <v>242</v>
      </c>
      <c r="G10" t="s">
        <v>249</v>
      </c>
      <c r="H10">
        <f>(MATCH(F10,{"Rare","Unlikely","Possible","Likely","Almost Certain"},0))
*
(MATCH(G10,{"Insignificant","Minor","Moderate","Major","Severe"},0))</f>
        <v>3</v>
      </c>
      <c r="I10" t="str" cm="1">
        <f t="array" ref="I10">_xlfn.IFS(
H10&lt;=4,"Low",
H10&lt;=9,"Medium",
H10&lt;=16,"High",
TRUE,"Very High"
)</f>
        <v>Low</v>
      </c>
      <c r="J10" t="s">
        <v>338</v>
      </c>
      <c r="K10" t="s">
        <v>255</v>
      </c>
      <c r="L10" cm="1">
        <f t="array" ref="L10">ROUND(
H10*
(1-
_xlfn.XLOOKUP(
K10,
{"Very Effective","Effective","Partially Effective","Ineffective"},
{0.6,0.4,0.2,0}
)
),
0)</f>
        <v>2</v>
      </c>
      <c r="M10" t="str" cm="1">
        <f t="array" ref="M10">_xlfn.IFS(
L10&lt;=4,"Low",
L10&lt;=9,"Medium",
L10&lt;=16,"High",
TRUE,"Very High"
)</f>
        <v>Low</v>
      </c>
      <c r="N10" t="str" cm="1">
        <f t="array" ref="N10">_xlfn.IFS(
M10="Low","Accept",
M10="Medium","Monitor",
M10="High","Mitigate",
M10="Very High","Avoid"
)</f>
        <v>Accept</v>
      </c>
      <c r="O10" t="s">
        <v>260</v>
      </c>
      <c r="P10" s="5">
        <v>46262</v>
      </c>
      <c r="Q10" t="s">
        <v>265</v>
      </c>
    </row>
    <row r="11" spans="1:18" x14ac:dyDescent="0.25">
      <c r="A11" t="s">
        <v>219</v>
      </c>
      <c r="B11" t="s">
        <v>198</v>
      </c>
      <c r="C11" t="s">
        <v>106</v>
      </c>
      <c r="D11" t="s">
        <v>209</v>
      </c>
      <c r="E11" t="s">
        <v>239</v>
      </c>
      <c r="F11" t="s">
        <v>244</v>
      </c>
      <c r="G11" t="s">
        <v>249</v>
      </c>
      <c r="H11">
        <f>(MATCH(F11,{"Rare","Unlikely","Possible","Likely","Almost Certain"},0))
*
(MATCH(G11,{"Insignificant","Minor","Moderate","Major","Severe"},0))</f>
        <v>9</v>
      </c>
      <c r="I11" t="str" cm="1">
        <f t="array" ref="I11">_xlfn.IFS(
H11&lt;=4,"Low",
H11&lt;=9,"Medium",
H11&lt;=16,"High",
TRUE,"Very High"
)</f>
        <v>Medium</v>
      </c>
      <c r="J11" t="s">
        <v>337</v>
      </c>
      <c r="K11" t="s">
        <v>254</v>
      </c>
      <c r="L11" cm="1">
        <f t="array" ref="L11">ROUND(
H11*
(1-
_xlfn.XLOOKUP(
K11,
{"Very Effective","Effective","Partially Effective","Ineffective"},
{0.6,0.4,0.2,0}
)
),
0)</f>
        <v>5</v>
      </c>
      <c r="M11" t="str" cm="1">
        <f t="array" ref="M11">_xlfn.IFS(
L11&lt;=4,"Low",
L11&lt;=9,"Medium",
L11&lt;=16,"High",
TRUE,"Very High"
)</f>
        <v>Medium</v>
      </c>
      <c r="N11" t="str" cm="1">
        <f t="array" ref="N11">_xlfn.IFS(
M11="Low","Accept",
M11="Medium","Monitor",
M11="High","Mitigate",
M11="Very High","Avoid"
)</f>
        <v>Monitor</v>
      </c>
      <c r="O11" t="s">
        <v>260</v>
      </c>
      <c r="P11" s="5">
        <v>46263</v>
      </c>
      <c r="Q11" t="s">
        <v>265</v>
      </c>
    </row>
  </sheetData>
  <phoneticPr fontId="3" type="noConversion"/>
  <conditionalFormatting sqref="O12:O1048576 N1:N11">
    <cfRule type="duplicateValues" dxfId="10" priority="9"/>
    <cfRule type="containsText" dxfId="9" priority="10" operator="containsText" text="Escalate">
      <formula>NOT(ISERROR(SEARCH("Escalate",N1)))</formula>
    </cfRule>
  </conditionalFormatting>
  <conditionalFormatting sqref="J12:K1048576 I1:J11">
    <cfRule type="containsText" dxfId="8" priority="6" operator="containsText" text="Medium">
      <formula>NOT(ISERROR(SEARCH("Medium",I1)))</formula>
    </cfRule>
    <cfRule type="containsText" dxfId="7" priority="7" operator="containsText" text="Low">
      <formula>NOT(ISERROR(SEARCH("Low",I1)))</formula>
    </cfRule>
    <cfRule type="containsText" dxfId="6" priority="8" operator="containsText" text="High">
      <formula>NOT(ISERROR(SEARCH("High",I1)))</formula>
    </cfRule>
  </conditionalFormatting>
  <conditionalFormatting sqref="N12:N1048576 M1:M11">
    <cfRule type="containsText" dxfId="5" priority="3" operator="containsText" text="High">
      <formula>NOT(ISERROR(SEARCH("High",M1)))</formula>
    </cfRule>
    <cfRule type="containsText" dxfId="4" priority="4" operator="containsText" text="Low">
      <formula>NOT(ISERROR(SEARCH("Low",M1)))</formula>
    </cfRule>
    <cfRule type="containsText" dxfId="3" priority="5" operator="containsText" text="Medium">
      <formula>NOT(ISERROR(SEARCH("Medium",M1)))</formula>
    </cfRule>
  </conditionalFormatting>
  <conditionalFormatting sqref="R12:R1048576 Q1:Q11">
    <cfRule type="containsText" dxfId="2" priority="1" operator="containsText" text="OPEN">
      <formula>NOT(ISERROR(SEARCH("OPEN",Q1)))</formula>
    </cfRule>
    <cfRule type="containsText" dxfId="1" priority="2" operator="containsText" text="Accepted">
      <formula>NOT(ISERROR(SEARCH("Accepted",Q1)))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E4B592F-25AC-4BF8-B464-C807BC3B3984}">
          <x14:formula1>
            <xm:f>'Lookup Table'!$D$2:$D$10</xm:f>
          </x14:formula1>
          <xm:sqref>E1:E1048576</xm:sqref>
        </x14:dataValidation>
        <x14:dataValidation type="list" allowBlank="1" showInputMessage="1" showErrorMessage="1" xr:uid="{133B024E-C51D-41D0-824E-D15EB692E7C8}">
          <x14:formula1>
            <xm:f>'Lookup Table'!$F$2:$F$9</xm:f>
          </x14:formula1>
          <xm:sqref>K12:K1048576 J1:J11</xm:sqref>
        </x14:dataValidation>
        <x14:dataValidation type="list" allowBlank="1" showInputMessage="1" showErrorMessage="1" xr:uid="{7504F19B-2A1C-4793-B3AE-B12B80AA0E78}">
          <x14:formula1>
            <xm:f>'Lookup Table'!$H$2:$H$6</xm:f>
          </x14:formula1>
          <xm:sqref>G12:G1048576 F1:F11</xm:sqref>
        </x14:dataValidation>
        <x14:dataValidation type="list" allowBlank="1" showInputMessage="1" showErrorMessage="1" xr:uid="{D8B60351-14DE-45CB-99C4-A6C2C655FBE4}">
          <x14:formula1>
            <xm:f>'Lookup Table'!$K$2:$K$6</xm:f>
          </x14:formula1>
          <xm:sqref>H12:H1048576 G1:G11</xm:sqref>
        </x14:dataValidation>
        <x14:dataValidation type="list" allowBlank="1" showInputMessage="1" showErrorMessage="1" xr:uid="{A0A939F3-9220-43FB-9689-93ED6A55DB98}">
          <x14:formula1>
            <xm:f>'Lookup Table'!$P$2:$P$5</xm:f>
          </x14:formula1>
          <xm:sqref>L12:L1048576 K1:K11</xm:sqref>
        </x14:dataValidation>
        <x14:dataValidation type="list" allowBlank="1" showInputMessage="1" showErrorMessage="1" xr:uid="{AFD52051-554C-4CD9-B657-3A87DA5B49B1}">
          <x14:formula1>
            <xm:f>'Lookup Table'!$S$2:$S$7</xm:f>
          </x14:formula1>
          <xm:sqref>P12:P1048576 O1:O11</xm:sqref>
        </x14:dataValidation>
        <x14:dataValidation type="list" allowBlank="1" showInputMessage="1" showErrorMessage="1" xr:uid="{1A95D29E-DC87-48CD-A913-F838D7D3E7AD}">
          <x14:formula1>
            <xm:f>'Lookup Table'!$U$2:$U$5</xm:f>
          </x14:formula1>
          <xm:sqref>R12:R1048576 Q1:Q11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45AF-8183-4EF5-BC7B-602B149D2EBA}">
  <dimension ref="A1:M42"/>
  <sheetViews>
    <sheetView topLeftCell="A8" workbookViewId="0">
      <selection activeCell="B41" sqref="B41"/>
    </sheetView>
  </sheetViews>
  <sheetFormatPr defaultRowHeight="15" x14ac:dyDescent="0.25"/>
  <cols>
    <col min="1" max="1" width="56.85546875" bestFit="1" customWidth="1"/>
    <col min="2" max="2" width="29.28515625" bestFit="1" customWidth="1"/>
    <col min="3" max="3" width="12.140625" bestFit="1" customWidth="1"/>
    <col min="5" max="5" width="10.5703125" bestFit="1" customWidth="1"/>
    <col min="6" max="6" width="19.42578125" bestFit="1" customWidth="1"/>
  </cols>
  <sheetData>
    <row r="1" spans="1:13" ht="18.75" x14ac:dyDescent="0.3">
      <c r="A1" s="7" t="s">
        <v>270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A2" t="s">
        <v>271</v>
      </c>
    </row>
    <row r="3" spans="1:13" x14ac:dyDescent="0.25">
      <c r="A3" t="s">
        <v>2</v>
      </c>
    </row>
    <row r="4" spans="1:13" x14ac:dyDescent="0.25">
      <c r="A4" t="s">
        <v>6</v>
      </c>
    </row>
    <row r="5" spans="1:13" x14ac:dyDescent="0.25">
      <c r="A5" t="s">
        <v>272</v>
      </c>
      <c r="B5" s="6">
        <f ca="1">TODAY()</f>
        <v>46234</v>
      </c>
    </row>
    <row r="6" spans="1:13" x14ac:dyDescent="0.25">
      <c r="A6" t="s">
        <v>273</v>
      </c>
      <c r="B6" s="3">
        <v>1</v>
      </c>
    </row>
    <row r="7" spans="1:13" x14ac:dyDescent="0.25">
      <c r="A7" t="s">
        <v>23</v>
      </c>
      <c r="B7" t="s">
        <v>274</v>
      </c>
    </row>
    <row r="9" spans="1:13" ht="18.75" x14ac:dyDescent="0.3">
      <c r="A9" s="7" t="s">
        <v>275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25">
      <c r="A10" t="s">
        <v>277</v>
      </c>
      <c r="B10">
        <f>ROWS(tblProcessingActivities[Activity ID])</f>
        <v>10</v>
      </c>
    </row>
    <row r="11" spans="1:13" x14ac:dyDescent="0.25">
      <c r="A11" t="s">
        <v>278</v>
      </c>
      <c r="B11">
        <f>ROWS(tblPrivacyRiskAssessment[Risk ID])</f>
        <v>10</v>
      </c>
    </row>
    <row r="12" spans="1:13" x14ac:dyDescent="0.25">
      <c r="A12" t="s">
        <v>279</v>
      </c>
      <c r="B12">
        <f>COUNTIF(tblPrivacyRiskAssessment[Residual Risk Rating],"Very High")</f>
        <v>0</v>
      </c>
    </row>
    <row r="13" spans="1:13" x14ac:dyDescent="0.25">
      <c r="A13" t="s">
        <v>280</v>
      </c>
      <c r="B13">
        <f>COUNTIF(tblPrivacyRiskAssessment[Residual Risk Rating],"High")</f>
        <v>1</v>
      </c>
    </row>
    <row r="14" spans="1:13" x14ac:dyDescent="0.25">
      <c r="A14" t="s">
        <v>281</v>
      </c>
      <c r="B14">
        <f>COUNTIF(tblPrivacyRiskAssessment[Residual Risk Rating],"Medium")</f>
        <v>5</v>
      </c>
    </row>
    <row r="15" spans="1:13" x14ac:dyDescent="0.25">
      <c r="A15" t="s">
        <v>282</v>
      </c>
      <c r="B15">
        <f>COUNTIF(tblPrivacyRiskAssessment[Residual Risk Rating],"Low")</f>
        <v>4</v>
      </c>
    </row>
    <row r="17" spans="1:13" ht="18.75" x14ac:dyDescent="0.3">
      <c r="A17" s="7" t="s">
        <v>311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t="s">
        <v>283</v>
      </c>
      <c r="B18" t="s">
        <v>284</v>
      </c>
      <c r="C18" t="s">
        <v>285</v>
      </c>
      <c r="D18" t="s">
        <v>286</v>
      </c>
      <c r="E18" t="s">
        <v>287</v>
      </c>
      <c r="F18" t="s">
        <v>288</v>
      </c>
    </row>
    <row r="19" spans="1:13" x14ac:dyDescent="0.25">
      <c r="A19" t="s">
        <v>10</v>
      </c>
      <c r="B19" t="s">
        <v>11</v>
      </c>
      <c r="C19" s="5">
        <v>46266</v>
      </c>
      <c r="D19" t="s">
        <v>293</v>
      </c>
      <c r="F19" t="s">
        <v>301</v>
      </c>
    </row>
    <row r="20" spans="1:13" x14ac:dyDescent="0.25">
      <c r="A20" t="s">
        <v>12</v>
      </c>
      <c r="B20" t="s">
        <v>13</v>
      </c>
      <c r="C20" s="5">
        <v>46267</v>
      </c>
      <c r="D20" t="s">
        <v>293</v>
      </c>
      <c r="F20" t="s">
        <v>301</v>
      </c>
    </row>
    <row r="21" spans="1:13" x14ac:dyDescent="0.25">
      <c r="A21" t="s">
        <v>14</v>
      </c>
      <c r="B21" t="s">
        <v>15</v>
      </c>
      <c r="C21" s="5">
        <v>46268</v>
      </c>
      <c r="D21" t="s">
        <v>293</v>
      </c>
      <c r="F21" t="s">
        <v>301</v>
      </c>
    </row>
    <row r="22" spans="1:13" x14ac:dyDescent="0.25">
      <c r="A22" t="s">
        <v>259</v>
      </c>
      <c r="B22" t="s">
        <v>17</v>
      </c>
      <c r="C22" s="5">
        <v>46269</v>
      </c>
      <c r="D22" t="s">
        <v>293</v>
      </c>
      <c r="F22" t="s">
        <v>301</v>
      </c>
    </row>
    <row r="23" spans="1:13" x14ac:dyDescent="0.25">
      <c r="A23" t="s">
        <v>18</v>
      </c>
      <c r="B23" t="s">
        <v>19</v>
      </c>
      <c r="C23" s="5">
        <v>46270</v>
      </c>
      <c r="D23" t="s">
        <v>293</v>
      </c>
      <c r="F23" t="s">
        <v>301</v>
      </c>
    </row>
    <row r="24" spans="1:13" x14ac:dyDescent="0.25">
      <c r="A24" t="s">
        <v>289</v>
      </c>
      <c r="B24" t="s">
        <v>290</v>
      </c>
      <c r="C24" s="5">
        <v>46271</v>
      </c>
      <c r="D24" t="s">
        <v>293</v>
      </c>
      <c r="F24" t="s">
        <v>301</v>
      </c>
    </row>
    <row r="25" spans="1:13" x14ac:dyDescent="0.25">
      <c r="A25" t="s">
        <v>291</v>
      </c>
      <c r="B25" t="s">
        <v>292</v>
      </c>
      <c r="C25" s="5">
        <v>46272</v>
      </c>
      <c r="D25" t="s">
        <v>293</v>
      </c>
      <c r="F25" t="s">
        <v>301</v>
      </c>
    </row>
    <row r="27" spans="1:13" ht="18.75" x14ac:dyDescent="0.3">
      <c r="A27" s="7" t="s">
        <v>302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x14ac:dyDescent="0.25">
      <c r="A28" t="s">
        <v>27</v>
      </c>
      <c r="B28" t="s">
        <v>42</v>
      </c>
    </row>
    <row r="29" spans="1:13" x14ac:dyDescent="0.25">
      <c r="A29" t="s">
        <v>303</v>
      </c>
      <c r="B29" t="s">
        <v>48</v>
      </c>
    </row>
    <row r="30" spans="1:13" x14ac:dyDescent="0.25">
      <c r="A30" t="s">
        <v>304</v>
      </c>
      <c r="B30" t="s">
        <v>37</v>
      </c>
    </row>
    <row r="31" spans="1:13" x14ac:dyDescent="0.25">
      <c r="A31" t="s">
        <v>305</v>
      </c>
      <c r="B31" t="s">
        <v>37</v>
      </c>
    </row>
    <row r="32" spans="1:13" x14ac:dyDescent="0.25">
      <c r="A32" t="s">
        <v>306</v>
      </c>
      <c r="B32" t="s">
        <v>37</v>
      </c>
    </row>
    <row r="33" spans="1:13" x14ac:dyDescent="0.25">
      <c r="A33" t="s">
        <v>60</v>
      </c>
      <c r="B33" t="s">
        <v>307</v>
      </c>
    </row>
    <row r="34" spans="1:13" x14ac:dyDescent="0.25">
      <c r="A34" t="s">
        <v>308</v>
      </c>
      <c r="B34" t="s">
        <v>307</v>
      </c>
    </row>
    <row r="35" spans="1:13" x14ac:dyDescent="0.25">
      <c r="A35" t="s">
        <v>309</v>
      </c>
      <c r="B35" t="s">
        <v>310</v>
      </c>
    </row>
    <row r="37" spans="1:13" ht="15" customHeight="1" x14ac:dyDescent="0.25">
      <c r="A37" s="9" t="s">
        <v>312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x14ac:dyDescent="0.25">
      <c r="A38" s="1" t="s">
        <v>313</v>
      </c>
      <c r="B38" s="1"/>
    </row>
    <row r="39" spans="1:13" x14ac:dyDescent="0.25">
      <c r="A39" s="1" t="s">
        <v>314</v>
      </c>
      <c r="B39" s="1"/>
    </row>
    <row r="40" spans="1:13" x14ac:dyDescent="0.25">
      <c r="A40" s="1" t="s">
        <v>288</v>
      </c>
      <c r="B40" s="1"/>
    </row>
    <row r="41" spans="1:13" x14ac:dyDescent="0.25">
      <c r="A41" s="1" t="s">
        <v>315</v>
      </c>
      <c r="B41" s="1"/>
    </row>
    <row r="42" spans="1:13" x14ac:dyDescent="0.25">
      <c r="A42" s="1" t="s">
        <v>316</v>
      </c>
      <c r="B42" s="1"/>
    </row>
  </sheetData>
  <mergeCells count="5">
    <mergeCell ref="A37:M37"/>
    <mergeCell ref="A1:M1"/>
    <mergeCell ref="A9:M9"/>
    <mergeCell ref="A27:M27"/>
    <mergeCell ref="A17:M17"/>
  </mergeCells>
  <conditionalFormatting sqref="D19:D25">
    <cfRule type="containsText" dxfId="0" priority="1" operator="containsText" text="Approved">
      <formula>NOT(ISERROR(SEARCH("Approved",D19)))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41559AF-BE76-4CDF-91A2-7E0B07287A1B}">
          <x14:formula1>
            <xm:f>'Lookup Table'!$W$2:$W$6</xm:f>
          </x14:formula1>
          <xm:sqref>D19:D25</xm:sqref>
        </x14:dataValidation>
        <x14:dataValidation type="list" allowBlank="1" showInputMessage="1" showErrorMessage="1" xr:uid="{6BA4E750-8CB4-4767-8367-77DB4F1E61FA}">
          <x14:formula1>
            <xm:f>'Lookup Table'!$Y$2:$Y$4</xm:f>
          </x14:formula1>
          <xm:sqref>F19:F25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EF8A-F879-433C-9F86-CE02FC722039}">
  <dimension ref="A1:J54"/>
  <sheetViews>
    <sheetView workbookViewId="0">
      <selection activeCell="L8" sqref="L8"/>
    </sheetView>
  </sheetViews>
  <sheetFormatPr defaultRowHeight="15" x14ac:dyDescent="0.25"/>
  <cols>
    <col min="1" max="1" width="24.42578125" bestFit="1" customWidth="1"/>
    <col min="2" max="2" width="11" customWidth="1"/>
  </cols>
  <sheetData>
    <row r="1" spans="1:10" ht="18.75" x14ac:dyDescent="0.3">
      <c r="A1" s="10" t="s">
        <v>317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25">
      <c r="A2" s="8" t="s">
        <v>318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t="s">
        <v>319</v>
      </c>
      <c r="B4" t="s">
        <v>276</v>
      </c>
    </row>
    <row r="5" spans="1:10" x14ac:dyDescent="0.25">
      <c r="A5" t="s">
        <v>277</v>
      </c>
      <c r="B5">
        <f>ROWS(tblProcessingActivities[Activity ID])</f>
        <v>10</v>
      </c>
    </row>
    <row r="6" spans="1:10" x14ac:dyDescent="0.25">
      <c r="A6" t="s">
        <v>278</v>
      </c>
      <c r="B6">
        <f>ROWS(tblPrivacyRiskAssessment[Risk ID])</f>
        <v>10</v>
      </c>
    </row>
    <row r="7" spans="1:10" x14ac:dyDescent="0.25">
      <c r="A7" t="s">
        <v>320</v>
      </c>
      <c r="B7">
        <f>COUNTIF(tblPrivacyRiskAssessment[Residual Risk Rating],"High")+COUNTIF(tblPrivacyRiskAssessment[Residual Risk Rating],"Very High")</f>
        <v>1</v>
      </c>
    </row>
    <row r="8" spans="1:10" x14ac:dyDescent="0.25">
      <c r="A8" t="s">
        <v>321</v>
      </c>
      <c r="B8" t="s">
        <v>293</v>
      </c>
    </row>
    <row r="12" spans="1:10" x14ac:dyDescent="0.25">
      <c r="C12" s="8" t="s">
        <v>322</v>
      </c>
      <c r="D12" s="8"/>
      <c r="E12" s="8"/>
      <c r="F12" s="8"/>
      <c r="G12" s="8"/>
    </row>
    <row r="15" spans="1:10" x14ac:dyDescent="0.25">
      <c r="A15" t="s">
        <v>227</v>
      </c>
      <c r="B15" t="s">
        <v>323</v>
      </c>
    </row>
    <row r="16" spans="1:10" x14ac:dyDescent="0.25">
      <c r="A16" t="s">
        <v>324</v>
      </c>
      <c r="B16">
        <f>COUNTIF(tblPrivacyRiskAssessment[Residual Risk Rating],"Low")</f>
        <v>4</v>
      </c>
    </row>
    <row r="17" spans="1:7" x14ac:dyDescent="0.25">
      <c r="A17" t="s">
        <v>325</v>
      </c>
      <c r="B17">
        <f>COUNTIF(tblPrivacyRiskAssessment[Residual Risk Rating],"Medium")</f>
        <v>5</v>
      </c>
    </row>
    <row r="18" spans="1:7" x14ac:dyDescent="0.25">
      <c r="A18" t="s">
        <v>326</v>
      </c>
      <c r="B18">
        <f>COUNTIF(tblPrivacyRiskAssessment[Residual Risk Rating],"High")</f>
        <v>1</v>
      </c>
    </row>
    <row r="19" spans="1:7" x14ac:dyDescent="0.25">
      <c r="A19" t="s">
        <v>327</v>
      </c>
      <c r="B19">
        <f>COUNTIF(tblPrivacyRiskAssessment[Residual Risk Rating],"Very High")</f>
        <v>0</v>
      </c>
    </row>
    <row r="24" spans="1:7" x14ac:dyDescent="0.25">
      <c r="C24" s="8" t="s">
        <v>328</v>
      </c>
      <c r="D24" s="8"/>
      <c r="E24" s="8"/>
      <c r="F24" s="8"/>
      <c r="G24" s="8"/>
    </row>
    <row r="25" spans="1:7" x14ac:dyDescent="0.25">
      <c r="A25" t="s">
        <v>232</v>
      </c>
      <c r="B25" t="s">
        <v>269</v>
      </c>
    </row>
    <row r="26" spans="1:7" x14ac:dyDescent="0.25">
      <c r="A26" t="s">
        <v>233</v>
      </c>
      <c r="B26">
        <f>COUNTIF(tblPrivacyRiskAssessment[Data Protection Principle Affected],I5)</f>
        <v>0</v>
      </c>
    </row>
    <row r="27" spans="1:7" x14ac:dyDescent="0.25">
      <c r="A27" t="s">
        <v>234</v>
      </c>
      <c r="B27">
        <f>COUNTIF(tblPrivacyRiskAssessment[Data Protection Principle Affected],I6)</f>
        <v>0</v>
      </c>
    </row>
    <row r="28" spans="1:7" x14ac:dyDescent="0.25">
      <c r="A28" t="s">
        <v>235</v>
      </c>
      <c r="B28">
        <f>COUNTIF(tblPrivacyRiskAssessment[Data Protection Principle Affected],I7)</f>
        <v>0</v>
      </c>
    </row>
    <row r="29" spans="1:7" x14ac:dyDescent="0.25">
      <c r="A29" t="s">
        <v>236</v>
      </c>
      <c r="B29">
        <f>COUNTIF(tblPrivacyRiskAssessment[Data Protection Principle Affected],I8)</f>
        <v>0</v>
      </c>
    </row>
    <row r="30" spans="1:7" x14ac:dyDescent="0.25">
      <c r="A30" t="s">
        <v>237</v>
      </c>
      <c r="B30">
        <f>COUNTIF(tblPrivacyRiskAssessment[Data Protection Principle Affected],I9)</f>
        <v>0</v>
      </c>
    </row>
    <row r="31" spans="1:7" x14ac:dyDescent="0.25">
      <c r="A31" t="s">
        <v>238</v>
      </c>
      <c r="B31">
        <f>COUNTIF(tblPrivacyRiskAssessment[Data Protection Principle Affected],I10)</f>
        <v>0</v>
      </c>
    </row>
    <row r="32" spans="1:7" x14ac:dyDescent="0.25">
      <c r="A32" t="s">
        <v>239</v>
      </c>
      <c r="B32">
        <v>8</v>
      </c>
    </row>
    <row r="33" spans="1:7" x14ac:dyDescent="0.25">
      <c r="A33" t="s">
        <v>240</v>
      </c>
      <c r="B33">
        <v>2</v>
      </c>
    </row>
    <row r="37" spans="1:7" x14ac:dyDescent="0.25">
      <c r="A37" t="s">
        <v>229</v>
      </c>
      <c r="B37" t="s">
        <v>323</v>
      </c>
      <c r="C37" s="8" t="s">
        <v>329</v>
      </c>
      <c r="D37" s="8"/>
      <c r="E37" s="8"/>
      <c r="F37" s="8"/>
      <c r="G37" s="8"/>
    </row>
    <row r="38" spans="1:7" x14ac:dyDescent="0.25">
      <c r="A38" t="s">
        <v>14</v>
      </c>
      <c r="B38">
        <f>COUNTIF(tblPrivacyRiskAssessment[Risk Owner],A23)</f>
        <v>0</v>
      </c>
    </row>
    <row r="39" spans="1:7" x14ac:dyDescent="0.25">
      <c r="A39" t="s">
        <v>259</v>
      </c>
      <c r="B39">
        <v>5</v>
      </c>
    </row>
    <row r="40" spans="1:7" x14ac:dyDescent="0.25">
      <c r="A40" t="s">
        <v>260</v>
      </c>
      <c r="B40">
        <v>5</v>
      </c>
    </row>
    <row r="41" spans="1:7" x14ac:dyDescent="0.25">
      <c r="A41" t="s">
        <v>289</v>
      </c>
      <c r="B41">
        <f>COUNTIF(tblPrivacyRiskAssessment[Risk Owner],A26)</f>
        <v>0</v>
      </c>
    </row>
    <row r="42" spans="1:7" x14ac:dyDescent="0.25">
      <c r="A42" t="s">
        <v>18</v>
      </c>
      <c r="B42">
        <f>COUNTIF(tblPrivacyRiskAssessment[Risk Owner],A27)</f>
        <v>0</v>
      </c>
    </row>
    <row r="43" spans="1:7" x14ac:dyDescent="0.25">
      <c r="A43" t="s">
        <v>262</v>
      </c>
      <c r="B43">
        <f>COUNTIF(tblPrivacyRiskAssessment[Risk Owner],A28)</f>
        <v>0</v>
      </c>
    </row>
    <row r="49" spans="1:7" x14ac:dyDescent="0.25">
      <c r="C49" s="8" t="s">
        <v>330</v>
      </c>
      <c r="D49" s="8"/>
      <c r="E49" s="8"/>
      <c r="F49" s="8"/>
      <c r="G49" s="8"/>
    </row>
    <row r="50" spans="1:7" x14ac:dyDescent="0.25">
      <c r="A50" t="s">
        <v>286</v>
      </c>
      <c r="B50" t="s">
        <v>323</v>
      </c>
    </row>
    <row r="51" spans="1:7" x14ac:dyDescent="0.25">
      <c r="A51" t="s">
        <v>293</v>
      </c>
      <c r="B51">
        <v>5</v>
      </c>
    </row>
    <row r="52" spans="1:7" x14ac:dyDescent="0.25">
      <c r="A52" t="s">
        <v>294</v>
      </c>
      <c r="B52">
        <v>0</v>
      </c>
    </row>
    <row r="53" spans="1:7" x14ac:dyDescent="0.25">
      <c r="A53" t="s">
        <v>297</v>
      </c>
      <c r="B53">
        <v>0</v>
      </c>
    </row>
    <row r="54" spans="1:7" x14ac:dyDescent="0.25">
      <c r="A54" t="s">
        <v>295</v>
      </c>
      <c r="B54">
        <v>0</v>
      </c>
    </row>
  </sheetData>
  <mergeCells count="6">
    <mergeCell ref="C12:G12"/>
    <mergeCell ref="C24:G24"/>
    <mergeCell ref="C37:G37"/>
    <mergeCell ref="C49:G49"/>
    <mergeCell ref="A1:J1"/>
    <mergeCell ref="A2:J2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ED60-E732-4B82-A3EA-D8BADBF48EED}">
  <dimension ref="A1:Y10"/>
  <sheetViews>
    <sheetView topLeftCell="A15" workbookViewId="0">
      <selection activeCell="F16" sqref="F16"/>
    </sheetView>
  </sheetViews>
  <sheetFormatPr defaultRowHeight="15" x14ac:dyDescent="0.25"/>
  <cols>
    <col min="1" max="1" width="11.7109375" customWidth="1"/>
    <col min="4" max="4" width="24.5703125" bestFit="1" customWidth="1"/>
    <col min="6" max="6" width="52.7109375" bestFit="1" customWidth="1"/>
    <col min="8" max="8" width="14.28515625" bestFit="1" customWidth="1"/>
    <col min="11" max="11" width="9.28515625" customWidth="1"/>
    <col min="14" max="14" width="22" customWidth="1"/>
    <col min="16" max="16" width="22" customWidth="1"/>
    <col min="17" max="17" width="12.140625" customWidth="1"/>
    <col min="19" max="19" width="27.85546875" bestFit="1" customWidth="1"/>
    <col min="23" max="23" width="25.85546875" bestFit="1" customWidth="1"/>
    <col min="25" max="25" width="19.42578125" bestFit="1" customWidth="1"/>
  </cols>
  <sheetData>
    <row r="1" spans="1:25" x14ac:dyDescent="0.25">
      <c r="A1" t="s">
        <v>42</v>
      </c>
      <c r="B1" t="s">
        <v>55</v>
      </c>
      <c r="D1" t="s">
        <v>241</v>
      </c>
      <c r="F1" t="s">
        <v>116</v>
      </c>
      <c r="H1" t="s">
        <v>222</v>
      </c>
      <c r="I1" t="s">
        <v>55</v>
      </c>
      <c r="K1" t="s">
        <v>223</v>
      </c>
      <c r="L1" t="s">
        <v>55</v>
      </c>
      <c r="N1" t="s">
        <v>225</v>
      </c>
      <c r="P1" t="s">
        <v>225</v>
      </c>
      <c r="Q1" t="s">
        <v>257</v>
      </c>
      <c r="S1" t="s">
        <v>229</v>
      </c>
      <c r="U1" t="s">
        <v>66</v>
      </c>
      <c r="W1" t="s">
        <v>298</v>
      </c>
      <c r="Y1" t="s">
        <v>288</v>
      </c>
    </row>
    <row r="2" spans="1:25" x14ac:dyDescent="0.25">
      <c r="A2" t="s">
        <v>37</v>
      </c>
      <c r="B2">
        <v>2</v>
      </c>
      <c r="D2" t="s">
        <v>232</v>
      </c>
      <c r="F2" t="s">
        <v>331</v>
      </c>
      <c r="H2" t="s">
        <v>242</v>
      </c>
      <c r="I2">
        <v>1</v>
      </c>
      <c r="K2" t="s">
        <v>247</v>
      </c>
      <c r="L2">
        <v>1</v>
      </c>
      <c r="N2" t="s">
        <v>253</v>
      </c>
      <c r="P2" t="s">
        <v>253</v>
      </c>
      <c r="Q2" s="4">
        <v>0.6</v>
      </c>
      <c r="S2" t="s">
        <v>258</v>
      </c>
      <c r="U2" t="s">
        <v>263</v>
      </c>
      <c r="W2" t="s">
        <v>293</v>
      </c>
      <c r="Y2" t="s">
        <v>299</v>
      </c>
    </row>
    <row r="3" spans="1:25" x14ac:dyDescent="0.25">
      <c r="A3" t="s">
        <v>178</v>
      </c>
      <c r="B3">
        <v>1</v>
      </c>
      <c r="D3" t="s">
        <v>233</v>
      </c>
      <c r="F3" t="s">
        <v>332</v>
      </c>
      <c r="H3" t="s">
        <v>243</v>
      </c>
      <c r="I3">
        <v>2</v>
      </c>
      <c r="K3" t="s">
        <v>248</v>
      </c>
      <c r="L3">
        <v>2</v>
      </c>
      <c r="N3" t="s">
        <v>254</v>
      </c>
      <c r="P3" t="s">
        <v>254</v>
      </c>
      <c r="Q3" s="4">
        <v>0.4</v>
      </c>
      <c r="S3" t="s">
        <v>259</v>
      </c>
      <c r="U3" t="s">
        <v>24</v>
      </c>
      <c r="W3" t="s">
        <v>294</v>
      </c>
      <c r="Y3" t="s">
        <v>300</v>
      </c>
    </row>
    <row r="4" spans="1:25" x14ac:dyDescent="0.25">
      <c r="A4" t="s">
        <v>48</v>
      </c>
      <c r="B4">
        <v>0</v>
      </c>
      <c r="D4" t="s">
        <v>234</v>
      </c>
      <c r="F4" t="s">
        <v>333</v>
      </c>
      <c r="H4" t="s">
        <v>244</v>
      </c>
      <c r="I4">
        <v>3</v>
      </c>
      <c r="K4" t="s">
        <v>249</v>
      </c>
      <c r="L4">
        <v>3</v>
      </c>
      <c r="N4" t="s">
        <v>255</v>
      </c>
      <c r="P4" t="s">
        <v>255</v>
      </c>
      <c r="Q4" s="4">
        <v>0.2</v>
      </c>
      <c r="S4" t="s">
        <v>260</v>
      </c>
      <c r="U4" t="s">
        <v>264</v>
      </c>
      <c r="W4" t="s">
        <v>295</v>
      </c>
      <c r="Y4" t="s">
        <v>301</v>
      </c>
    </row>
    <row r="5" spans="1:25" x14ac:dyDescent="0.25">
      <c r="D5" t="s">
        <v>235</v>
      </c>
      <c r="F5" t="s">
        <v>334</v>
      </c>
      <c r="H5" t="s">
        <v>245</v>
      </c>
      <c r="I5">
        <v>4</v>
      </c>
      <c r="K5" t="s">
        <v>250</v>
      </c>
      <c r="L5">
        <v>4</v>
      </c>
      <c r="N5" t="s">
        <v>256</v>
      </c>
      <c r="P5" t="s">
        <v>256</v>
      </c>
      <c r="Q5" s="4">
        <v>0</v>
      </c>
      <c r="S5" t="s">
        <v>261</v>
      </c>
      <c r="U5" t="s">
        <v>265</v>
      </c>
      <c r="W5" t="s">
        <v>296</v>
      </c>
    </row>
    <row r="6" spans="1:25" x14ac:dyDescent="0.25">
      <c r="D6" t="s">
        <v>236</v>
      </c>
      <c r="F6" t="s">
        <v>335</v>
      </c>
      <c r="H6" t="s">
        <v>246</v>
      </c>
      <c r="I6">
        <v>5</v>
      </c>
      <c r="K6" t="s">
        <v>251</v>
      </c>
      <c r="L6">
        <v>5</v>
      </c>
      <c r="S6" t="s">
        <v>12</v>
      </c>
      <c r="W6" t="s">
        <v>297</v>
      </c>
    </row>
    <row r="7" spans="1:25" x14ac:dyDescent="0.25">
      <c r="D7" t="s">
        <v>237</v>
      </c>
      <c r="F7" t="s">
        <v>336</v>
      </c>
      <c r="S7" t="s">
        <v>262</v>
      </c>
    </row>
    <row r="8" spans="1:25" x14ac:dyDescent="0.25">
      <c r="D8" t="s">
        <v>238</v>
      </c>
      <c r="F8" t="s">
        <v>337</v>
      </c>
    </row>
    <row r="9" spans="1:25" x14ac:dyDescent="0.25">
      <c r="D9" t="s">
        <v>239</v>
      </c>
      <c r="F9" t="s">
        <v>338</v>
      </c>
    </row>
    <row r="10" spans="1:25" x14ac:dyDescent="0.25">
      <c r="D10" t="s">
        <v>240</v>
      </c>
    </row>
  </sheetData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Information and Screeni</vt:lpstr>
      <vt:lpstr>Processing Activities</vt:lpstr>
      <vt:lpstr>Necessity and Proportionality</vt:lpstr>
      <vt:lpstr>Privacy Risk Assessment</vt:lpstr>
      <vt:lpstr>Summary, Approval and Signoff</vt:lpstr>
      <vt:lpstr>Executive Dashboard</vt:lpstr>
      <vt:lpstr>Lookup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Abdulmuizz Abdulrazaq</dc:creator>
  <cp:lastModifiedBy>Abdulmuizz Abdulrazaq</cp:lastModifiedBy>
  <dcterms:created xsi:type="dcterms:W3CDTF">2026-07-29T07:34:45Z</dcterms:created>
  <dcterms:modified xsi:type="dcterms:W3CDTF">2026-07-31T08:01:08Z</dcterms:modified>
</cp:coreProperties>
</file>